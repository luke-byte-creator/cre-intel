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SE TR" state="visible" r:id="rId4"/>
    <sheet sheetId="2" name="Occupier Industry" state="visible" r:id="rId5"/>
  </sheets>
  <calcPr calcId="171027"/>
</workbook>
</file>

<file path=xl/sharedStrings.xml><?xml version="1.0" encoding="utf-8"?>
<sst xmlns="http://schemas.openxmlformats.org/spreadsheetml/2006/main" count="179" uniqueCount="146">
  <si>
    <t>LEASE AND LEASE RENEWAL TRADE RECORD:</t>
  </si>
  <si>
    <t xml:space="preserve">ASSET/PROPERTY MANAGER:   </t>
  </si>
  <si>
    <t>Arbutus Properties</t>
  </si>
  <si>
    <t>NEW ✓</t>
  </si>
  <si>
    <t>RENEWAL</t>
  </si>
  <si>
    <t>EXTENSION</t>
  </si>
  <si>
    <t>BENEFICIAL OWNER                         (up to three):</t>
  </si>
  <si>
    <t>George Family Holdings Ltd.</t>
  </si>
  <si>
    <t>RAW SPACE ✓</t>
  </si>
  <si>
    <t>IMPROVED SPACE</t>
  </si>
  <si>
    <t>DIRECT LEASE: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</si>
  <si>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</si>
  <si>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</si>
  <si>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</si>
  <si>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</si>
  <si>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</si>
  <si>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</si>
  <si>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</si>
  <si>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</si>
  <si>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Nov</t>
  </si>
  <si>
    <t>ENGAGED BY</t>
  </si>
  <si>
    <t>TO:</t>
  </si>
  <si>
    <t>Dec</t>
  </si>
  <si>
    <t>PAID BY</t>
  </si>
  <si>
    <t>RENEWAL OPTION</t>
  </si>
  <si>
    <t>YES ✓</t>
  </si>
  <si>
    <t>RENEWAL DATE: Two (2) options of Five (5) years each, 12 months written notice required</t>
  </si>
  <si>
    <t/>
  </si>
  <si>
    <t>NO</t>
  </si>
  <si>
    <t xml:space="preserve">(SUB)    LANDLORD NAME: </t>
  </si>
  <si>
    <t xml:space="preserve">(SUB)   TENANT NAME:  </t>
  </si>
  <si>
    <t>Babco Meats Ltd.</t>
  </si>
  <si>
    <t xml:space="preserve">CONTACT NAME(REQUIRED): </t>
  </si>
  <si>
    <t>Jeff Drexel</t>
  </si>
  <si>
    <t>Darryl Babey</t>
  </si>
  <si>
    <t xml:space="preserve">PHONE:  </t>
  </si>
  <si>
    <t xml:space="preserve">Fax/Email: </t>
  </si>
  <si>
    <t>jdrexel@arbutusproperties.com</t>
  </si>
  <si>
    <t>MAILING ADDRESS: (INCLUDING SUITE #)</t>
  </si>
  <si>
    <t>310 – 1501 West Broadway</t>
  </si>
  <si>
    <t>CITY:</t>
  </si>
  <si>
    <t>PROVINCE:</t>
  </si>
  <si>
    <t>POSTAL CODE:</t>
  </si>
  <si>
    <t>Vancouver</t>
  </si>
  <si>
    <t>BC</t>
  </si>
  <si>
    <t>V6J 4Z6</t>
  </si>
  <si>
    <t>Regina</t>
  </si>
  <si>
    <t>SK</t>
  </si>
  <si>
    <t>PROPERTY ADDRESS: (INCLUDING SUITE #)</t>
  </si>
  <si>
    <t>PROPERTY TYPE:</t>
  </si>
  <si>
    <t>LAND</t>
  </si>
  <si>
    <t>OFFICE</t>
  </si>
  <si>
    <t>RES</t>
  </si>
  <si>
    <t>Unit 20, 3012 Meadows Parkway</t>
  </si>
  <si>
    <t>RETAIL ✓</t>
  </si>
  <si>
    <t>INDUSTRIAL</t>
  </si>
  <si>
    <t>SP.USE</t>
  </si>
  <si>
    <t>Saskatoon</t>
  </si>
  <si>
    <t>DEAL DETAILS:</t>
  </si>
  <si>
    <t>CBRE LISTING:</t>
  </si>
  <si>
    <t>YES: ✓</t>
  </si>
  <si>
    <t>NO:</t>
  </si>
  <si>
    <t>Total SF of Leased Space:</t>
  </si>
  <si>
    <t>Base Annual Rent PSF:</t>
  </si>
  <si>
    <t>Months of Free Rent:</t>
  </si>
  <si>
    <t>Tenant Inducement:</t>
  </si>
  <si>
    <t>Taxes &amp; Operating Costs:</t>
  </si>
  <si>
    <t>INVOICE REQUEST DATE:</t>
  </si>
  <si>
    <t>Immediate</t>
  </si>
  <si>
    <t>OCCUPIER INDUSTRY: CHOOSE APPLICABLE OCCUPIER FROM LIST</t>
  </si>
  <si>
    <t xml:space="preserve">Occupier Industry: </t>
  </si>
  <si>
    <t>Food &amp; Beverage Processing</t>
  </si>
  <si>
    <t>Building Classification:</t>
  </si>
  <si>
    <t>Space Use:</t>
  </si>
  <si>
    <t>Retail sale of meat</t>
  </si>
  <si>
    <t>Reason for Transaction:</t>
  </si>
  <si>
    <t>New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</si>
  <si>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</si>
  <si>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</si>
  <si>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</si>
  <si>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</si>
  <si>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</si>
  <si>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</si>
  <si>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</si>
  <si>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</si>
  <si>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</si>
  <si>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</si>
  <si>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t>CBRE COMMISSION DISTRIBUTION (TO INCLUDE ALL CANADIAN OFFICES):</t>
  </si>
  <si>
    <t>LEASE SCHEDULE PER TERM AS PER OTL:</t>
  </si>
  <si>
    <t>BRANCH NAME:</t>
  </si>
  <si>
    <t>SALES PERSON:</t>
  </si>
  <si>
    <t>AMOUNT:</t>
  </si>
  <si>
    <t>Initials:</t>
  </si>
  <si>
    <t>Date Start</t>
  </si>
  <si>
    <t>Date Finish</t>
  </si>
  <si>
    <t>Rent PSF</t>
  </si>
  <si>
    <t>CBRE Saskatchewan</t>
  </si>
  <si>
    <t>2025-09-01</t>
  </si>
  <si>
    <t>2025-10-31</t>
  </si>
  <si>
    <t>Michael Bratvold</t>
  </si>
  <si>
    <t>2025-11-01</t>
  </si>
  <si>
    <t>2025-12-31</t>
  </si>
  <si>
    <t>Ben Kelley</t>
  </si>
  <si>
    <t>2026-01-01</t>
  </si>
  <si>
    <t>2030-12-31</t>
  </si>
  <si>
    <t>Shane Endicott</t>
  </si>
  <si>
    <t>2031-01-01</t>
  </si>
  <si>
    <t>2035-12-31</t>
  </si>
  <si>
    <t>Dallon Kuprowski</t>
  </si>
  <si>
    <t>Luke Jansen</t>
  </si>
  <si>
    <t>CBRE &amp; AGENTS TOTAL:</t>
  </si>
  <si>
    <t>We will be collecting GST and PST CBRE Listing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</si>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</sst>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" width="15" customWidth="1"/>
    <col min="2" max="3" width="12" customWidth="1"/>
    <col min="4" max="4" width="15" customWidth="1"/>
    <col min="5" max="5" width="12" customWidth="1"/>
    <col min="6" max="6" width="15" customWidth="1"/>
    <col min="7" max="7" width="10" customWidth="1"/>
    <col min="8" max="8" width="15" customWidth="1"/>
    <col min="9" max="11" width="12" customWidth="1"/>
  </cols>
  <sheetData>
    <row r="1" spans="1:1" x14ac:dyDescent="0.25">
      <c r="A1" s="1" t="s">
        <v>0</v>
      </c>
    </row>
    <row r="2" spans="6:8" x14ac:dyDescent="0.25">
      <c r="F2" s="2" t="s">
        <v>1</v>
      </c>
      <c r="H2" s="3" t="s">
        <v>2</v>
      </c>
    </row>
    <row r="3" spans="1:8" x14ac:dyDescent="0.25">
      <c r="A3" s="2" t="s">
        <v>3</v>
      </c>
      <c r="B3" s="3" t="s">
        <v>4</v>
      </c>
      <c r="D3" s="3" t="s">
        <v>5</v>
      </c>
      <c r="F3" s="2" t="s">
        <v>6</v>
      </c>
      <c r="H3" s="3" t="s">
        <v>7</v>
      </c>
    </row>
    <row r="5" spans="1:3" x14ac:dyDescent="0.25">
      <c r="A5" s="3" t="s">
        <v>8</v>
      </c>
      <c r="C5" s="3" t="s">
        <v>9</v>
      </c>
    </row>
    <row r="6" spans="1:10" x14ac:dyDescent="0.25">
      <c r="A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H6" s="4" t="s">
        <v>15</v>
      </c>
      <c r="J6" s="4" t="s">
        <v>16</v>
      </c>
    </row>
    <row r="7" spans="1:8" x14ac:dyDescent="0.25">
      <c r="A7" s="3" t="s">
        <v>17</v>
      </c>
      <c r="C7" s="3" t="s">
        <v>18</v>
      </c>
      <c r="D7" s="3">
        <v>1</v>
      </c>
      <c r="E7" s="3" t="s">
        <v>19</v>
      </c>
      <c r="F7" s="3">
        <v>2025</v>
      </c>
      <c r="H7" s="3" t="s">
        <v>20</v>
      </c>
    </row>
    <row r="8" spans="3:8" x14ac:dyDescent="0.25">
      <c r="C8" s="3" t="s">
        <v>21</v>
      </c>
      <c r="D8" s="3">
        <v>31</v>
      </c>
      <c r="E8" s="3" t="s">
        <v>22</v>
      </c>
      <c r="F8" s="3">
        <v>2035</v>
      </c>
      <c r="H8" s="3" t="s">
        <v>23</v>
      </c>
    </row>
    <row r="9" spans="1:5" x14ac:dyDescent="0.25">
      <c r="A9" s="3" t="s">
        <v>24</v>
      </c>
      <c r="C9" s="3" t="s">
        <v>25</v>
      </c>
      <c r="E9" s="3" t="s">
        <v>26</v>
      </c>
    </row>
    <row r="10" spans="1:3" x14ac:dyDescent="0.25">
      <c r="A10" s="3" t="s">
        <v>27</v>
      </c>
      <c r="C10" s="3" t="s">
        <v>28</v>
      </c>
    </row>
    <row r="11" spans="1:9" x14ac:dyDescent="0.25">
      <c r="A11" s="2" t="s">
        <v>29</v>
      </c>
      <c r="D11" s="3" t="s">
        <v>7</v>
      </c>
      <c r="G11" s="2" t="s">
        <v>30</v>
      </c>
      <c r="I11" s="3" t="s">
        <v>31</v>
      </c>
    </row>
    <row r="12" spans="1:9" x14ac:dyDescent="0.25">
      <c r="A12" s="3" t="s">
        <v>32</v>
      </c>
      <c r="D12" s="3" t="s">
        <v>33</v>
      </c>
      <c r="G12" s="3" t="s">
        <v>32</v>
      </c>
      <c r="I12" s="3" t="s">
        <v>34</v>
      </c>
    </row>
    <row r="13" spans="1:10" x14ac:dyDescent="0.25">
      <c r="A13" s="3" t="s">
        <v>35</v>
      </c>
      <c r="B13" s="3" t="s">
        <v>27</v>
      </c>
      <c r="D13" s="3" t="s">
        <v>36</v>
      </c>
      <c r="F13" s="3" t="s">
        <v>37</v>
      </c>
      <c r="G13" s="3" t="s">
        <v>35</v>
      </c>
      <c r="H13" s="3" t="s">
        <v>27</v>
      </c>
      <c r="I13" s="3" t="s">
        <v>36</v>
      </c>
      <c r="J13" s="3" t="s">
        <v>27</v>
      </c>
    </row>
    <row r="14" spans="1:7" x14ac:dyDescent="0.25">
      <c r="A14" s="2" t="s">
        <v>38</v>
      </c>
      <c r="G14" s="2" t="s">
        <v>38</v>
      </c>
    </row>
    <row r="15" spans="1:7" x14ac:dyDescent="0.25">
      <c r="A15" s="3" t="s">
        <v>39</v>
      </c>
      <c r="G15" s="3" t="s">
        <v>27</v>
      </c>
    </row>
    <row r="16" spans="1:11" x14ac:dyDescent="0.25">
      <c r="A16" s="3" t="s">
        <v>40</v>
      </c>
      <c r="D16" s="3" t="s">
        <v>41</v>
      </c>
      <c r="F16" s="3" t="s">
        <v>42</v>
      </c>
      <c r="G16" s="3" t="s">
        <v>40</v>
      </c>
      <c r="I16" s="3" t="s">
        <v>41</v>
      </c>
      <c r="K16" s="3" t="s">
        <v>42</v>
      </c>
    </row>
    <row r="17" spans="1:11" x14ac:dyDescent="0.25">
      <c r="A17" s="3" t="s">
        <v>43</v>
      </c>
      <c r="D17" s="3" t="s">
        <v>44</v>
      </c>
      <c r="F17" s="3" t="s">
        <v>45</v>
      </c>
      <c r="G17" s="3" t="s">
        <v>46</v>
      </c>
      <c r="I17" s="3" t="s">
        <v>47</v>
      </c>
      <c r="K17" s="3" t="s">
        <v>27</v>
      </c>
    </row>
    <row r="19" spans="1:11" x14ac:dyDescent="0.25">
      <c r="A19" s="2" t="s">
        <v>48</v>
      </c>
      <c r="G19" s="2" t="s">
        <v>49</v>
      </c>
      <c r="H19" s="3" t="s">
        <v>50</v>
      </c>
      <c r="I19" s="3" t="s">
        <v>51</v>
      </c>
      <c r="K19" s="3" t="s">
        <v>52</v>
      </c>
    </row>
    <row r="20" spans="1:11" x14ac:dyDescent="0.25">
      <c r="A20" s="3" t="s">
        <v>53</v>
      </c>
      <c r="G20" s="3" t="s">
        <v>27</v>
      </c>
      <c r="H20" s="3" t="s">
        <v>54</v>
      </c>
      <c r="I20" s="3" t="s">
        <v>55</v>
      </c>
      <c r="K20" s="3" t="s">
        <v>56</v>
      </c>
    </row>
    <row r="21" spans="1:6" x14ac:dyDescent="0.25">
      <c r="A21" s="3" t="s">
        <v>40</v>
      </c>
      <c r="D21" s="3" t="s">
        <v>41</v>
      </c>
      <c r="F21" s="3" t="s">
        <v>42</v>
      </c>
    </row>
    <row r="22" spans="1:7" x14ac:dyDescent="0.25">
      <c r="A22" s="3" t="s">
        <v>57</v>
      </c>
      <c r="D22" s="3" t="s">
        <v>47</v>
      </c>
      <c r="F22" s="3" t="s">
        <v>27</v>
      </c>
      <c r="G22" s="4" t="s">
        <v>58</v>
      </c>
    </row>
    <row r="23" spans="1:9" x14ac:dyDescent="0.25">
      <c r="A23" s="3" t="s">
        <v>59</v>
      </c>
      <c r="C23" s="3" t="s">
        <v>60</v>
      </c>
      <c r="E23" s="3" t="s">
        <v>61</v>
      </c>
      <c r="G23" s="3" t="s">
        <v>62</v>
      </c>
      <c r="I23" s="3">
        <v>2111</v>
      </c>
    </row>
    <row r="24" spans="7:9" x14ac:dyDescent="0.25">
      <c r="G24" s="3" t="s">
        <v>63</v>
      </c>
      <c r="I24" s="3">
        <v>33.5</v>
      </c>
    </row>
    <row r="25" spans="7:9" x14ac:dyDescent="0.25">
      <c r="G25" s="3" t="s">
        <v>64</v>
      </c>
      <c r="I25" s="3">
        <v>2</v>
      </c>
    </row>
    <row r="26" spans="7:9" x14ac:dyDescent="0.25">
      <c r="G26" s="3" t="s">
        <v>65</v>
      </c>
      <c r="I26" s="3">
        <v>20</v>
      </c>
    </row>
    <row r="27" spans="7:9" x14ac:dyDescent="0.25">
      <c r="G27" s="3" t="s">
        <v>66</v>
      </c>
      <c r="I27" s="3">
        <v>13.21</v>
      </c>
    </row>
    <row r="30" spans="7:9" x14ac:dyDescent="0.25">
      <c r="G30" s="3" t="s">
        <v>67</v>
      </c>
      <c r="I30" s="3" t="s">
        <v>68</v>
      </c>
    </row>
    <row r="31" spans="7:7" x14ac:dyDescent="0.25">
      <c r="G31" s="2" t="s">
        <v>69</v>
      </c>
    </row>
    <row r="33" spans="7:9" x14ac:dyDescent="0.25">
      <c r="G33" s="3" t="s">
        <v>70</v>
      </c>
      <c r="I33" s="3" t="s">
        <v>71</v>
      </c>
    </row>
    <row r="34" spans="7:9" x14ac:dyDescent="0.25">
      <c r="G34" s="3" t="s">
        <v>72</v>
      </c>
      <c r="I34" s="3" t="s">
        <v>27</v>
      </c>
    </row>
    <row r="35" spans="7:9" x14ac:dyDescent="0.25">
      <c r="G35" s="3" t="s">
        <v>73</v>
      </c>
      <c r="I35" s="3" t="s">
        <v>74</v>
      </c>
    </row>
    <row r="36" spans="7:9" x14ac:dyDescent="0.25">
      <c r="G36" s="3" t="s">
        <v>75</v>
      </c>
      <c r="I36" s="3" t="s">
        <v>76</v>
      </c>
    </row>
    <row r="40" spans="1:1" x14ac:dyDescent="0.25">
      <c r="A40" s="1" t="s">
        <v>77</v>
      </c>
    </row>
    <row r="41" spans="1:10" x14ac:dyDescent="0.25">
      <c r="A41" s="2" t="s">
        <v>78</v>
      </c>
      <c r="C41" s="3" t="s">
        <v>79</v>
      </c>
      <c r="D41" s="2" t="s">
        <v>80</v>
      </c>
      <c r="F41" s="3" t="s">
        <v>79</v>
      </c>
      <c r="G41" s="2" t="s">
        <v>81</v>
      </c>
      <c r="H41" s="2" t="s">
        <v>82</v>
      </c>
      <c r="I41" s="2" t="s">
        <v>83</v>
      </c>
      <c r="J41" s="2" t="s">
        <v>84</v>
      </c>
    </row>
    <row r="42" spans="1:10" x14ac:dyDescent="0.25">
      <c r="A42" s="3">
        <v>2111</v>
      </c>
      <c r="C42" s="3" t="s">
        <v>79</v>
      </c>
      <c r="D42" s="3">
        <v>33.5</v>
      </c>
      <c r="F42" s="3" t="s">
        <v>79</v>
      </c>
      <c r="G42" s="3">
        <v>5</v>
      </c>
      <c r="H42" s="3">
        <f>A42*D42*G42</f>
      </c>
      <c r="I42" s="3">
        <v>5</v>
      </c>
      <c r="J42" s="3">
        <f>H42*I42</f>
      </c>
    </row>
    <row r="43" spans="1:10" x14ac:dyDescent="0.25">
      <c r="A43" s="3">
        <v>2111</v>
      </c>
      <c r="C43" s="3" t="s">
        <v>79</v>
      </c>
      <c r="D43" s="3">
        <v>35</v>
      </c>
      <c r="F43" s="3" t="s">
        <v>79</v>
      </c>
      <c r="G43" s="3">
        <v>5</v>
      </c>
      <c r="H43" s="3">
        <f>A43*D43*G43</f>
      </c>
      <c r="I43" s="3">
        <v>5</v>
      </c>
      <c r="J43" s="3">
        <f>H43*I43</f>
      </c>
    </row>
    <row r="45" spans="1:10" x14ac:dyDescent="0.25">
      <c r="A45" s="2" t="s">
        <v>85</v>
      </c>
      <c r="E45" s="3">
        <f>SUM(H42:H43)</f>
      </c>
      <c r="H45" s="2" t="s">
        <v>86</v>
      </c>
      <c r="J45" s="3">
        <f>SUM(J42:K43)</f>
      </c>
    </row>
    <row r="46" spans="1:8" x14ac:dyDescent="0.25">
      <c r="A46" s="1" t="s">
        <v>87</v>
      </c>
      <c r="H46" s="4" t="s">
        <v>88</v>
      </c>
    </row>
    <row r="47" spans="1:10" x14ac:dyDescent="0.25">
      <c r="A47" s="2" t="s">
        <v>89</v>
      </c>
      <c r="D47" s="2" t="s">
        <v>90</v>
      </c>
      <c r="F47" s="2" t="s">
        <v>91</v>
      </c>
      <c r="G47" s="2" t="s">
        <v>92</v>
      </c>
      <c r="H47" s="2" t="s">
        <v>93</v>
      </c>
      <c r="I47" s="2" t="s">
        <v>94</v>
      </c>
      <c r="J47" s="2" t="s">
        <v>95</v>
      </c>
    </row>
    <row r="48" spans="1:10" x14ac:dyDescent="0.25">
      <c r="A48" s="3" t="s">
        <v>96</v>
      </c>
      <c r="F48" s="3">
        <f>J45/2</f>
      </c>
      <c r="H48" s="3" t="s">
        <v>97</v>
      </c>
      <c r="I48" s="3" t="s">
        <v>98</v>
      </c>
      <c r="J48" s="3">
        <v>0</v>
      </c>
    </row>
    <row r="49" spans="1:10" x14ac:dyDescent="0.25">
      <c r="A49" s="3" t="s">
        <v>96</v>
      </c>
      <c r="D49" s="3" t="s">
        <v>99</v>
      </c>
      <c r="F49" s="3">
        <f>$F$48*0.385</f>
      </c>
      <c r="H49" s="3" t="s">
        <v>100</v>
      </c>
      <c r="I49" s="3" t="s">
        <v>101</v>
      </c>
      <c r="J49" s="3">
        <v>0</v>
      </c>
    </row>
    <row r="50" spans="1:10" x14ac:dyDescent="0.25">
      <c r="A50" s="3" t="s">
        <v>96</v>
      </c>
      <c r="D50" s="3" t="s">
        <v>102</v>
      </c>
      <c r="F50" s="3">
        <f>$F$48*0.265</f>
      </c>
      <c r="H50" s="3" t="s">
        <v>103</v>
      </c>
      <c r="I50" s="3" t="s">
        <v>104</v>
      </c>
      <c r="J50" s="3">
        <v>33.5</v>
      </c>
    </row>
    <row r="51" spans="1:10" x14ac:dyDescent="0.25">
      <c r="A51" s="3" t="s">
        <v>96</v>
      </c>
      <c r="D51" s="3" t="s">
        <v>105</v>
      </c>
      <c r="F51" s="3">
        <f>$F$48*0.12</f>
      </c>
      <c r="H51" s="3" t="s">
        <v>106</v>
      </c>
      <c r="I51" s="3" t="s">
        <v>107</v>
      </c>
      <c r="J51" s="3">
        <v>35</v>
      </c>
    </row>
    <row r="52" spans="1:6" x14ac:dyDescent="0.25">
      <c r="A52" s="3" t="s">
        <v>96</v>
      </c>
      <c r="D52" s="3" t="s">
        <v>108</v>
      </c>
      <c r="F52" s="3">
        <f>$F$48*0.16</f>
      </c>
    </row>
    <row r="53" spans="1:6" x14ac:dyDescent="0.25">
      <c r="A53" s="3" t="s">
        <v>96</v>
      </c>
      <c r="D53" s="3" t="s">
        <v>109</v>
      </c>
      <c r="F53" s="3">
        <f>$F$48*0.07</f>
      </c>
    </row>
    <row r="55" spans="1:6" x14ac:dyDescent="0.25">
      <c r="A55" s="2" t="s">
        <v>110</v>
      </c>
      <c r="F55" s="3">
        <f>SUM(F48:F53)</f>
      </c>
    </row>
    <row r="57" spans="1:1" x14ac:dyDescent="0.25">
      <c r="A57" s="3" t="s">
        <v>111</v>
      </c>
    </row>
    <row r="61" spans="8:9" x14ac:dyDescent="0.25">
      <c r="H61" s="3" t="s">
        <v>112</v>
      </c>
      <c r="I61" s="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2" max="2" width="55" customWidth="1"/>
  </cols>
  <sheetData>
    <row r="1" spans="1:2" x14ac:dyDescent="0.25">
      <c r="A1" s="5" t="s">
        <v>113</v>
      </c>
      <c r="B1" s="5" t="s">
        <v>113</v>
      </c>
    </row>
    <row r="2" spans="2:2" x14ac:dyDescent="0.25">
      <c r="B2" t="s">
        <v>114</v>
      </c>
    </row>
    <row r="3" spans="2:2" x14ac:dyDescent="0.25">
      <c r="B3" t="s">
        <v>115</v>
      </c>
    </row>
    <row r="4" spans="2:2" x14ac:dyDescent="0.25">
      <c r="B4" t="s">
        <v>116</v>
      </c>
    </row>
    <row r="5" spans="2:2" x14ac:dyDescent="0.25">
      <c r="B5" t="s">
        <v>117</v>
      </c>
    </row>
    <row r="6" spans="2:2" x14ac:dyDescent="0.25">
      <c r="B6" t="s">
        <v>118</v>
      </c>
    </row>
    <row r="7" spans="2:2" x14ac:dyDescent="0.25">
      <c r="B7" t="s">
        <v>119</v>
      </c>
    </row>
    <row r="8" spans="2:2" x14ac:dyDescent="0.25">
      <c r="B8" t="s">
        <v>120</v>
      </c>
    </row>
    <row r="9" spans="2:2" x14ac:dyDescent="0.25">
      <c r="B9" t="s">
        <v>121</v>
      </c>
    </row>
    <row r="10" spans="2:2" x14ac:dyDescent="0.25">
      <c r="B10" t="s">
        <v>122</v>
      </c>
    </row>
    <row r="11" spans="2:2" x14ac:dyDescent="0.25">
      <c r="B11" t="s">
        <v>123</v>
      </c>
    </row>
    <row r="12" spans="2:2" x14ac:dyDescent="0.25">
      <c r="B12" t="s">
        <v>124</v>
      </c>
    </row>
    <row r="13" spans="2:2" x14ac:dyDescent="0.25">
      <c r="B13" t="s">
        <v>125</v>
      </c>
    </row>
    <row r="14" spans="2:2" x14ac:dyDescent="0.25">
      <c r="B14" t="s">
        <v>71</v>
      </c>
    </row>
    <row r="15" spans="2:2" x14ac:dyDescent="0.25">
      <c r="B15" t="s">
        <v>126</v>
      </c>
    </row>
    <row r="16" spans="2:2" x14ac:dyDescent="0.25">
      <c r="B16" t="s">
        <v>127</v>
      </c>
    </row>
    <row r="17" spans="2:2" x14ac:dyDescent="0.25">
      <c r="B17" t="s">
        <v>128</v>
      </c>
    </row>
    <row r="18" spans="2:2" x14ac:dyDescent="0.25">
      <c r="B18" t="s">
        <v>129</v>
      </c>
    </row>
    <row r="19" spans="2:2" x14ac:dyDescent="0.25">
      <c r="B19" t="s">
        <v>130</v>
      </c>
    </row>
    <row r="20" spans="2:2" x14ac:dyDescent="0.25">
      <c r="B20" t="s">
        <v>131</v>
      </c>
    </row>
    <row r="21" spans="2:2" x14ac:dyDescent="0.25">
      <c r="B21" t="s">
        <v>132</v>
      </c>
    </row>
    <row r="22" spans="2:2" x14ac:dyDescent="0.25">
      <c r="B22" t="s">
        <v>133</v>
      </c>
    </row>
    <row r="23" spans="2:2" x14ac:dyDescent="0.25">
      <c r="B23" t="s">
        <v>134</v>
      </c>
    </row>
    <row r="24" spans="2:2" x14ac:dyDescent="0.25">
      <c r="B24" t="s">
        <v>135</v>
      </c>
    </row>
    <row r="25" spans="2:2" x14ac:dyDescent="0.25">
      <c r="B25" t="s">
        <v>136</v>
      </c>
    </row>
    <row r="26" spans="2:2" x14ac:dyDescent="0.25">
      <c r="B26" t="s">
        <v>137</v>
      </c>
    </row>
    <row r="27" spans="2:2" x14ac:dyDescent="0.25">
      <c r="B27" t="s">
        <v>138</v>
      </c>
    </row>
    <row r="28" spans="2:2" x14ac:dyDescent="0.25">
      <c r="B28" t="s">
        <v>139</v>
      </c>
    </row>
    <row r="29" spans="2:2" x14ac:dyDescent="0.25">
      <c r="B29" t="s">
        <v>140</v>
      </c>
    </row>
    <row r="30" spans="2:2" x14ac:dyDescent="0.25">
      <c r="B30" t="s">
        <v>141</v>
      </c>
    </row>
    <row r="31" spans="2:2" x14ac:dyDescent="0.25">
      <c r="B31" t="s">
        <v>142</v>
      </c>
    </row>
    <row r="32" spans="2:2" x14ac:dyDescent="0.25">
      <c r="B32" t="s">
        <v>143</v>
      </c>
    </row>
    <row r="33" spans="2:2" x14ac:dyDescent="0.25">
      <c r="B33" t="s">
        <v>144</v>
      </c>
    </row>
    <row r="34" spans="2:2" x14ac:dyDescent="0.25">
      <c r="B3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 TR</vt:lpstr>
      <vt:lpstr>Occupier Industry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2026-02-15T20:48:17Z</dcterms:created>
  <dcterms:modified xsi:type="dcterms:W3CDTF">2026-02-15T20:48:17Z</dcterms:modified>
</cp:coreProperties>
</file>