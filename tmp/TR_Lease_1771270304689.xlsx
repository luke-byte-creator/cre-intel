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<sst xmlns="http://schemas.openxmlformats.org/spreadsheetml/2006/main" count="264" uniqueCount="150">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</sst>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954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v>954</v>
      </c>
      <c r="B42" s="172"/>
      <c r="C42" s="173" t="s">
        <v>77</v>
      </c>
      <c r="D42" s="174">
        <v>20</v>
      </c>
      <c r="E42" s="174"/>
      <c r="F42" s="173" t="s">
        <v>77</v>
      </c>
      <c r="G42" s="175">
        <v>1</v>
      </c>
      <c r="H42" s="176">
        <f>=A42*D42*G42</f>
      </c>
      <c r="I42" s="177">
        <v>0.05</v>
      </c>
      <c r="J42" s="178">
        <f>=H42*I42</f>
      </c>
      <c r="K42" s="179"/>
      <c r="L42" s="180"/>
    </row>
    <row r="43" ht="15.6" customHeight="1" spans="1:14" x14ac:dyDescent="0.25">
      <c r="A43" s="171">
        <v>954</v>
      </c>
      <c r="B43" s="172"/>
      <c r="C43" s="173" t="s">
        <v>77</v>
      </c>
      <c r="D43" s="174">
        <v>21</v>
      </c>
      <c r="E43" s="174"/>
      <c r="F43" s="173" t="s">
        <v>77</v>
      </c>
      <c r="G43" s="175">
        <v>4</v>
      </c>
      <c r="H43" s="176">
        <f>=A43*D43*G43</f>
      </c>
      <c r="I43" s="177">
        <v>0.02</v>
      </c>
      <c r="J43" s="174">
        <f>=H43*I43</f>
      </c>
      <c r="K43" s="181"/>
      <c r="N43" s="12"/>
    </row>
    <row r="44" ht="15.6" customHeight="1" spans="1:12" x14ac:dyDescent="0.25">
      <c r="A44" s="171">
        <v>954</v>
      </c>
      <c r="B44" s="172"/>
      <c r="C44" s="173" t="s">
        <v>77</v>
      </c>
      <c r="D44" s="174">
        <v>22</v>
      </c>
      <c r="E44" s="174"/>
      <c r="F44" s="173" t="s">
        <v>77</v>
      </c>
      <c r="G44" s="175">
        <v>3</v>
      </c>
      <c r="H44" s="176">
        <f>=A44*D44*G44</f>
      </c>
      <c r="I44" s="177">
        <v>0.02</v>
      </c>
      <c r="J44" s="174">
        <f>=H44*I44</f>
      </c>
      <c r="K44" s="181"/>
      <c r="L44" s="182"/>
    </row>
    <row r="45" ht="15.6" customHeight="1" spans="1:11" x14ac:dyDescent="0.25">
      <c r="A45" s="171" t="s">
        <v>26</v>
      </c>
      <c r="B45" s="172"/>
      <c r="C45" s="173" t="s">
        <v>26</v>
      </c>
      <c r="D45" s="174" t="s">
        <v>26</v>
      </c>
      <c r="E45" s="174"/>
      <c r="F45" s="173" t="s">
        <v>26</v>
      </c>
      <c r="G45" s="175" t="s">
        <v>26</v>
      </c>
      <c r="H45" s="176" t="s">
        <v>26</v>
      </c>
      <c r="I45" s="177" t="s">
        <v>26</v>
      </c>
      <c r="J45" s="174" t="s">
        <v>26</v>
      </c>
      <c r="K45" s="181"/>
    </row>
    <row r="46" ht="15.6" customHeight="1" spans="1:11" x14ac:dyDescent="0.25">
      <c r="A46" s="183" t="s">
        <v>26</v>
      </c>
      <c r="B46" s="184"/>
      <c r="C46" s="173" t="s">
        <v>26</v>
      </c>
      <c r="D46" s="174" t="s">
        <v>26</v>
      </c>
      <c r="E46" s="174"/>
      <c r="F46" s="173" t="s">
        <v>26</v>
      </c>
      <c r="G46" s="175" t="s">
        <v>26</v>
      </c>
      <c r="H46" s="176" t="s">
        <v>26</v>
      </c>
      <c r="I46" s="177" t="s">
        <v>26</v>
      </c>
      <c r="J46" s="174" t="s">
        <v>26</v>
      </c>
      <c r="K46" s="181"/>
    </row>
    <row r="47" ht="15.6" customHeight="1" spans="1:11" x14ac:dyDescent="0.25">
      <c r="A47" s="171" t="s">
        <v>26</v>
      </c>
      <c r="B47" s="185"/>
      <c r="C47" s="173" t="s">
        <v>26</v>
      </c>
      <c r="D47" s="174" t="s">
        <v>26</v>
      </c>
      <c r="E47" s="174"/>
      <c r="F47" s="173" t="s">
        <v>26</v>
      </c>
      <c r="G47" s="186" t="s">
        <v>26</v>
      </c>
      <c r="H47" s="176" t="s">
        <v>26</v>
      </c>
      <c r="I47" s="177" t="s">
        <v>26</v>
      </c>
      <c r="J47" s="174" t="s">
        <v>26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=SUM(H42:H47)</f>
      </c>
      <c r="F48" s="191"/>
      <c r="G48" s="23"/>
      <c r="H48" s="192" t="s">
        <v>84</v>
      </c>
      <c r="I48" s="193"/>
      <c r="J48" s="194">
        <f>=SUM(J42:J47)</f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=J48*0.5</f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=$F$51*0.385</f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=$F$51*0.265</f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=$F$51*0.12</f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=$F$51*0.16</f>
      </c>
      <c r="G55" s="13"/>
      <c r="H55" s="216"/>
      <c r="I55" s="217" t="s">
        <v>54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=$F$51*0.07</f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