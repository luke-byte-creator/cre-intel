
<file path=[Content_Types].xml><?xml version="1.0" encoding="utf-8"?>
<Types xmlns="http://schemas.openxmlformats.org/package/2006/content-types">
  <Default Extension="emf" ContentType="image/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4895" yWindow="-12360" windowWidth="28800" windowHeight="11640"/>
  </bookViews>
  <sheets>
    <sheet sheetId="1" name="LEASE TR" state="visible" r:id="rId4"/>
    <sheet sheetId="2" name="Occupier Industry" state="visible" r:id="rId5"/>
    <sheet sheetId="3" name="Sheet3" state="visible" r:id="rId6"/>
  </sheets>
  <calcPr calcId="171027" fullCalcOnLoad="1"/>
</workbook>
</file>

<file path=xl/sharedStrings.xml><?xml version="1.0" encoding="utf-8"?>
<sst xmlns="http://schemas.openxmlformats.org/spreadsheetml/2006/main" count="244" uniqueCount="150">
  <si>
    <t>LEASE AND LEASE RENEWAL TRADE RECORD:</t>
  </si>
  <si>
    <t xml:space="preserve">ASSET/PROPERTY MANAGER:   </t>
  </si>
  <si>
    <t>Cushman &amp; Wakefield Asset Services ULC</t>
  </si>
  <si>
    <t>NEW</t>
  </si>
  <si>
    <t>RENEWAL</t>
  </si>
  <si>
    <t>EXTENSION  ✓</t>
  </si>
  <si>
    <t>BENEFICIAL OWNER                         (up to three)</t>
  </si>
  <si>
    <t>Midtown Plaza Inc.</t>
  </si>
  <si>
    <t>RAW SPACE</t>
  </si>
  <si>
    <t>IMPROVED SPACE  ✓</t>
  </si>
  <si>
    <t>DIRECT LEASE:  ✓</t>
  </si>
  <si>
    <t>TERM:</t>
  </si>
  <si>
    <t>DAY</t>
  </si>
  <si>
    <t>MONTH</t>
  </si>
  <si>
    <t>YEAR</t>
  </si>
  <si>
    <t>(SUB)   LANDLORD</t>
  </si>
  <si>
    <t>(SUB)   TENANT</t>
  </si>
  <si>
    <t>SUBLEASE:</t>
  </si>
  <si>
    <t>FROM:</t>
  </si>
  <si>
    <t>Aug</t>
  </si>
  <si>
    <t>ENGAGED BY</t>
  </si>
  <si>
    <t>TO:</t>
  </si>
  <si>
    <t>Oct</t>
  </si>
  <si>
    <t>PAID BY</t>
  </si>
  <si>
    <t>RENEWAL OPTION</t>
  </si>
  <si>
    <t>YES</t>
  </si>
  <si>
    <t/>
  </si>
  <si>
    <t>NO  ✓</t>
  </si>
  <si>
    <t xml:space="preserve">(SUB)    LANDLORD NAME: </t>
  </si>
  <si>
    <t xml:space="preserve">(SUB)   TENANT NAME:  </t>
  </si>
  <si>
    <t>Bahrey Dental Professional Corporation and Dr. Kenneth Tomchuk Dental Prof. Corp.</t>
  </si>
  <si>
    <t xml:space="preserve">CONTACT NAME(REQUIRED): </t>
  </si>
  <si>
    <t>Bryce Bahrey / Ken Tomchuk</t>
  </si>
  <si>
    <t xml:space="preserve">PHONE:  </t>
  </si>
  <si>
    <t xml:space="preserve">Fax/Email: </t>
  </si>
  <si>
    <r>
      <t xml:space="preserve">MAILING ADDRESS: </t>
    </r>
    <r>
      <rPr>
        <b/>
        <u/>
        <color rgb="FFFF0000"/>
        <family val="2"/>
        <scheme val="minor"/>
        <sz val="9"/>
        <rFont val="Calibri"/>
      </rPr>
      <t>(INCLUDING SUITE #)</t>
    </r>
  </si>
  <si>
    <r>
      <t>MAILING ADDRESS:</t>
    </r>
    <r>
      <rPr>
        <b/>
        <color rgb="FFFF0000"/>
        <family val="2"/>
        <scheme val="minor"/>
        <sz val="9"/>
        <rFont val="Calibri"/>
      </rPr>
      <t xml:space="preserve"> (INCLUDING SUITE #)</t>
    </r>
  </si>
  <si>
    <t>CITY:</t>
  </si>
  <si>
    <t>PROVINCE:</t>
  </si>
  <si>
    <t>POSTAL CODE:</t>
  </si>
  <si>
    <t>Saskatoon</t>
  </si>
  <si>
    <t>Saskatchewan</t>
  </si>
  <si>
    <r>
      <rPr>
        <b/>
        <u/>
        <family val="2"/>
        <scheme val="minor"/>
        <sz val="9"/>
        <rFont val="Calibri"/>
      </rPr>
      <t>PROPERTY ADDRESS:</t>
    </r>
    <r>
      <rPr>
        <b/>
        <u/>
        <color rgb="FFFF0000"/>
        <family val="2"/>
        <scheme val="minor"/>
        <sz val="9"/>
        <rFont val="Calibri"/>
      </rPr>
      <t xml:space="preserve"> (INCLUDING SUITE #)</t>
    </r>
  </si>
  <si>
    <t>PROPERTY TYPE:</t>
  </si>
  <si>
    <t>LAND</t>
  </si>
  <si>
    <t>OFFICE  ✓</t>
  </si>
  <si>
    <t>RES</t>
  </si>
  <si>
    <t>The Tower at Midtown, Suites 401 &amp; 403A</t>
  </si>
  <si>
    <t>RETAIL</t>
  </si>
  <si>
    <t>INDUSTRIAL</t>
  </si>
  <si>
    <t>SP.USE</t>
  </si>
  <si>
    <t>DEAL DETAILS:</t>
  </si>
  <si>
    <t>CBRE LISTING:</t>
  </si>
  <si>
    <t>YES:</t>
  </si>
  <si>
    <t>NO:  ✓</t>
  </si>
  <si>
    <t>Total SF of Leased Space:</t>
  </si>
  <si>
    <t xml:space="preserve">OUTSIDE BROKER COMPANY: </t>
  </si>
  <si>
    <t>Base Annual Rent PSF:</t>
  </si>
  <si>
    <t>Months of Free Rent:</t>
  </si>
  <si>
    <r>
      <t xml:space="preserve">MAILING ADDRESS </t>
    </r>
    <r>
      <rPr>
        <b/>
        <color rgb="FFFF0000"/>
        <family val="2"/>
        <scheme val="minor"/>
        <sz val="9"/>
        <rFont val="Calibri"/>
      </rPr>
      <t>(INCLUDING SUITE #):</t>
    </r>
  </si>
  <si>
    <t>Tenant Inducement:</t>
  </si>
  <si>
    <t>Taxes &amp; Operating Costs:</t>
  </si>
  <si>
    <t>INVOICE REQUEST DATE:</t>
  </si>
  <si>
    <t>Immediate</t>
  </si>
  <si>
    <t>OUTSIDE BROKER COMMISSION:</t>
  </si>
  <si>
    <t>OCCUPIER INDUSTRY: CHOOSE APPLICABLE OCCUPIER FROM THE OCCUPIER TAB AND ENTER BELOW</t>
  </si>
  <si>
    <t>IF OTHER THAN LANDLORD WHO ARE WE SENDING THE INVOICE TO?  PLEASE COMPLETE THE FULL ADDRESS BELOW:</t>
  </si>
  <si>
    <t xml:space="preserve">Occupier Industry: </t>
  </si>
  <si>
    <t>Healthcare &amp; Social Assistance</t>
  </si>
  <si>
    <t>Building Classification:</t>
  </si>
  <si>
    <t>Space Use:</t>
  </si>
  <si>
    <t>Dental Office</t>
  </si>
  <si>
    <t>Reason for Transaction: (Downsizing, Expansion, Relocation)</t>
  </si>
  <si>
    <t>Expansion</t>
  </si>
  <si>
    <t xml:space="preserve">Previous Property: </t>
  </si>
  <si>
    <t>COMMISSION CALCULATION FOR BILLING:</t>
  </si>
  <si>
    <t>TOTAL SQ. FT</t>
  </si>
  <si>
    <t>@</t>
  </si>
  <si>
    <t>$ RATE PSF</t>
  </si>
  <si>
    <t>TERM</t>
  </si>
  <si>
    <t>TOTAL</t>
  </si>
  <si>
    <t>LEASE RATE:</t>
  </si>
  <si>
    <t>TOTAL COMMISSION</t>
  </si>
  <si>
    <t>TOTAL DEAL VALUE:</t>
  </si>
  <si>
    <t>TOTAL BILLING:</t>
  </si>
  <si>
    <r>
      <t xml:space="preserve">CBRE COMMISSION DISTRIBUTION </t>
    </r>
    <r>
      <rPr>
        <b/>
        <color rgb="FFFF0000"/>
        <family val="2"/>
        <scheme val="minor"/>
        <sz val="9"/>
        <rFont val="Calibri"/>
      </rPr>
      <t>(TO INCLUDE ALL CANADIAN OFFICES):</t>
    </r>
  </si>
  <si>
    <t>CLOSING CONTINGENCY                         AS PER AGREEMENTS:</t>
  </si>
  <si>
    <t xml:space="preserve">Lease Exec: 
Opening:</t>
  </si>
  <si>
    <t>Occupancy:           Cash:</t>
  </si>
  <si>
    <t>BRANCH NAME:</t>
  </si>
  <si>
    <t>SALES PERSON:</t>
  </si>
  <si>
    <t>AMOUNT:</t>
  </si>
  <si>
    <t>Initials:</t>
  </si>
  <si>
    <t>Deposits Held By (If By CBRE Indicate Amount):</t>
  </si>
  <si>
    <t>CBRE Saskatchewan</t>
  </si>
  <si>
    <t>CBRE LIMITED:</t>
  </si>
  <si>
    <t>Michael Bratvold</t>
  </si>
  <si>
    <t>CO-OPERATING AGENT:</t>
  </si>
  <si>
    <t>Ben Kelley</t>
  </si>
  <si>
    <t>(OTHER) INDICATE WHO:</t>
  </si>
  <si>
    <t>Shane Endicott</t>
  </si>
  <si>
    <t>Interest Bearing:</t>
  </si>
  <si>
    <t xml:space="preserve">YES: </t>
  </si>
  <si>
    <t>Term Deposit :</t>
  </si>
  <si>
    <t>Dallon Kuprowski</t>
  </si>
  <si>
    <t>NO:</t>
  </si>
  <si>
    <t>Luke Jansen</t>
  </si>
  <si>
    <t>Written Direction to Deduct Deposit:                               (should be in listing):</t>
  </si>
  <si>
    <t>Deal Status:</t>
  </si>
  <si>
    <t>Conditional:</t>
  </si>
  <si>
    <t>Firm:</t>
  </si>
  <si>
    <t>Deal Expected to go firm (provide date):</t>
  </si>
  <si>
    <t>LEASE SCHEDULE PER TERM AS PER OTL:</t>
  </si>
  <si>
    <t>Date Start</t>
  </si>
  <si>
    <t>Date Finish</t>
  </si>
  <si>
    <t>CBRE &amp; AGENTS TOTAL:</t>
  </si>
  <si>
    <t>CBRE BROKER:</t>
  </si>
  <si>
    <t>OCCUPIER (TENANT) INDUSTRY)</t>
  </si>
  <si>
    <t>Accommodation, Tourism &amp; Leisure</t>
  </si>
  <si>
    <t>Aerospace &amp; Defense</t>
  </si>
  <si>
    <t>Agriculture, Forestry, Fishing &amp; Hunting</t>
  </si>
  <si>
    <t>Arts and Culture</t>
  </si>
  <si>
    <t>Automotive</t>
  </si>
  <si>
    <t>Building Materials &amp; Construction, Architects &amp; Engineers</t>
  </si>
  <si>
    <t>Business Services – Administration, Employment Services</t>
  </si>
  <si>
    <t>Business Services – Repairs, Maintenance, Waste Removal</t>
  </si>
  <si>
    <t>Business Services – Accounting, Marketing and Consulting</t>
  </si>
  <si>
    <t>E-Commerce</t>
  </si>
  <si>
    <t>Education</t>
  </si>
  <si>
    <t>FIRE (Finance, Insurance &amp; Real Estate)</t>
  </si>
  <si>
    <t>Food &amp; Beverage Processing</t>
  </si>
  <si>
    <t>Government</t>
  </si>
  <si>
    <t>Legal</t>
  </si>
  <si>
    <t>Life Sciences/Scientific &amp; Technical</t>
  </si>
  <si>
    <t>Lobbyist</t>
  </si>
  <si>
    <t>Machinery, Automation &amp; Appliances</t>
  </si>
  <si>
    <t>Materials Manufacturing</t>
  </si>
  <si>
    <t>Metals Manufacturing</t>
  </si>
  <si>
    <t>Mining</t>
  </si>
  <si>
    <t>Oil &amp; Gas</t>
  </si>
  <si>
    <t>Other Services</t>
  </si>
  <si>
    <t>Paper, Pulp, Packaging &amp; Printing</t>
  </si>
  <si>
    <t>Power &amp; Utilities</t>
  </si>
  <si>
    <t>Religious &amp; Non-Profits</t>
  </si>
  <si>
    <t>Retail</t>
  </si>
  <si>
    <t>Technology</t>
  </si>
  <si>
    <t>Telecommunications</t>
  </si>
  <si>
    <t>Transportation/Distribution/Logistics</t>
  </si>
  <si>
    <t>Warehousing/Storage</t>
  </si>
  <si>
    <t>Wholesale Trade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</si>
</sst>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&quot;$&quot;#,##0.00"/>
    <numFmt numFmtId="165" formatCode="_(&quot;$&quot;* #,##0.00_);_(&quot;$&quot;* (#,##0.00);_(&quot;$&quot;* &quot;-&quot;??_);_(@_)"/>
    <numFmt numFmtId="166" formatCode="_-&quot;$&quot;* #,##0.00_-;-&quot;$&quot;* #,##0.00_-;_-&quot;$&quot;* &quot;-&quot;??_-;_-@_-"/>
    <numFmt numFmtId="167" formatCode="&quot;$&quot;#,##0.00;[Red]-&quot;$&quot;#,##0.00"/>
  </numFmts>
  <fonts count="20" x14ac:knownFonts="1">
    <font>
      <color theme="1"/>
      <family val="2"/>
      <scheme val="minor"/>
      <sz val="11"/>
      <name val="Calibri"/>
    </font>
    <font>
      <color theme="1"/>
      <family val="2"/>
      <scheme val="minor"/>
      <sz val="9"/>
      <name val="Calibri"/>
    </font>
    <font>
      <b/>
      <color theme="1"/>
      <family val="2"/>
      <scheme val="minor"/>
      <sz val="11"/>
      <name val="Calibri"/>
    </font>
    <font>
      <color theme="1"/>
      <family val="2"/>
      <scheme val="minor"/>
      <sz val="8"/>
      <name val="Calibri"/>
    </font>
    <font>
      <b/>
      <color rgb="FFFF0000"/>
      <family val="2"/>
      <scheme val="minor"/>
      <sz val="9"/>
      <name val="Calibri"/>
    </font>
    <font>
      <u/>
      <color theme="10"/>
      <family val="2"/>
      <scheme val="minor"/>
      <sz val="11"/>
      <name val="Calibri"/>
    </font>
    <font>
      <b/>
      <u/>
      <color theme="1"/>
      <family val="2"/>
      <scheme val="minor"/>
      <sz val="9"/>
      <name val="Calibri"/>
    </font>
    <font>
      <b/>
      <color theme="1"/>
      <family val="2"/>
      <scheme val="minor"/>
      <sz val="9"/>
      <name val="Calibri"/>
    </font>
    <font>
      <i/>
      <u/>
      <color theme="1"/>
      <family val="2"/>
      <scheme val="minor"/>
      <sz val="9"/>
      <name val="Calibri"/>
    </font>
    <font>
      <b/>
      <u/>
      <color rgb="FFFF0000"/>
      <family val="2"/>
      <scheme val="minor"/>
      <sz val="9"/>
      <name val="Calibri"/>
    </font>
    <font>
      <color rgb="FFFF0000"/>
      <family val="2"/>
      <scheme val="minor"/>
      <sz val="9"/>
      <name val="Calibri"/>
    </font>
    <font>
      <color rgb="FF9C0006"/>
      <family val="2"/>
      <scheme val="minor"/>
      <sz val="11"/>
      <name val="Calibri"/>
    </font>
    <font>
      <family val="2"/>
      <scheme val="minor"/>
      <sz val="9"/>
      <name val="Calibri"/>
    </font>
    <font>
      <family val="2"/>
      <scheme val="minor"/>
      <sz val="8"/>
      <name val="Calibri"/>
    </font>
    <font>
      <color rgb="FFFF0000"/>
      <family val="2"/>
      <scheme val="minor"/>
      <sz val="10"/>
      <name val="Calibri"/>
    </font>
    <font>
      <b/>
      <family val="2"/>
      <scheme val="minor"/>
      <sz val="9"/>
      <name val="Calibri"/>
    </font>
    <font>
      <b/>
      <i/>
      <color theme="1"/>
      <family val="2"/>
      <scheme val="minor"/>
      <sz val="9"/>
      <name val="Calibri"/>
    </font>
    <font>
      <color rgb="FFFFFFFF"/>
      <family val="2"/>
      <sz val="10"/>
      <name val="Futura Hv BT"/>
    </font>
    <font>
      <color rgb="FF000000"/>
      <family val="2"/>
      <sz val="10"/>
      <name val="Futura Bk BT"/>
    </font>
    <font>
      <color theme="1"/>
      <family val="2"/>
      <sz val="10"/>
      <name val="Futura Bk BT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rgb="FF000000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5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12" xfId="0" applyBorder="1"/>
    <xf numFmtId="0" fontId="1" fillId="0" borderId="13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14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1" xfId="0" applyFont="1" applyBorder="1"/>
    <xf numFmtId="0" fontId="1" fillId="0" borderId="16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10" xfId="0" applyFont="1" applyBorder="1" applyAlignment="1">
      <alignment horizontal="left"/>
    </xf>
    <xf numFmtId="0" fontId="3" fillId="0" borderId="11" xfId="0" applyFont="1" applyBorder="1" applyAlignment="1">
      <alignment horizontal="left"/>
    </xf>
    <xf numFmtId="0" fontId="1" fillId="0" borderId="0" xfId="0" applyFont="1" applyAlignment="1">
      <alignment horizontal="center" wrapText="1"/>
    </xf>
    <xf numFmtId="0" fontId="1" fillId="0" borderId="10" xfId="0" applyFont="1" applyBorder="1" applyAlignment="1">
      <alignment horizontal="center" wrapText="1"/>
    </xf>
    <xf numFmtId="0" fontId="1" fillId="0" borderId="2" xfId="0" applyFont="1" applyBorder="1" applyAlignment="1">
      <alignment horizontal="left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top" wrapText="1"/>
    </xf>
    <xf numFmtId="0" fontId="1" fillId="0" borderId="16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1" fillId="0" borderId="1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4" fillId="0" borderId="14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1" fillId="0" borderId="6" xfId="0" applyFont="1" applyBorder="1"/>
    <xf numFmtId="0" fontId="1" fillId="0" borderId="7" xfId="0" applyFont="1" applyBorder="1"/>
    <xf numFmtId="0" fontId="1" fillId="0" borderId="1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11" xfId="0" applyFont="1" applyBorder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7" fillId="0" borderId="11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10" xfId="0" applyFont="1" applyBorder="1" applyAlignment="1">
      <alignment horizontal="center" vertical="top" wrapText="1"/>
    </xf>
    <xf numFmtId="0" fontId="1" fillId="0" borderId="11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top" wrapText="1"/>
    </xf>
    <xf numFmtId="0" fontId="8" fillId="0" borderId="0" xfId="0" applyFont="1" applyAlignment="1">
      <alignment horizontal="center" vertical="top" wrapText="1"/>
    </xf>
    <xf numFmtId="0" fontId="8" fillId="0" borderId="10" xfId="0" applyFont="1" applyBorder="1" applyAlignment="1">
      <alignment horizontal="center" vertical="top" wrapText="1"/>
    </xf>
    <xf numFmtId="0" fontId="1" fillId="0" borderId="11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4" xfId="0" applyFont="1" applyBorder="1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1" fillId="0" borderId="16" xfId="0" applyFont="1" applyBorder="1"/>
    <xf numFmtId="0" fontId="1" fillId="0" borderId="1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0" xfId="0" applyFont="1" applyBorder="1"/>
    <xf numFmtId="0" fontId="1" fillId="0" borderId="2" xfId="0" applyFont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right"/>
    </xf>
    <xf numFmtId="0" fontId="1" fillId="0" borderId="2" xfId="0" applyFont="1" applyBorder="1"/>
    <xf numFmtId="0" fontId="7" fillId="0" borderId="17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3" fontId="1" fillId="0" borderId="19" xfId="0" applyNumberFormat="1" applyFont="1" applyBorder="1" applyAlignment="1">
      <alignment horizontal="center" vertical="center"/>
    </xf>
    <xf numFmtId="3" fontId="1" fillId="0" borderId="20" xfId="0" applyNumberFormat="1" applyFont="1" applyBorder="1" applyAlignment="1">
      <alignment horizontal="center" vertical="center"/>
    </xf>
    <xf numFmtId="3" fontId="1" fillId="0" borderId="21" xfId="0" applyNumberFormat="1" applyFont="1" applyBorder="1" applyAlignment="1">
      <alignment horizontal="center" vertical="center"/>
    </xf>
    <xf numFmtId="0" fontId="7" fillId="0" borderId="6" xfId="0" applyFont="1" applyBorder="1"/>
    <xf numFmtId="0" fontId="7" fillId="0" borderId="7" xfId="0" applyFont="1" applyBorder="1"/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7" fillId="0" borderId="22" xfId="0" applyFont="1" applyBorder="1" applyAlignment="1">
      <alignment vertical="center"/>
    </xf>
    <xf numFmtId="0" fontId="1" fillId="0" borderId="23" xfId="0" applyFont="1" applyBorder="1" applyAlignment="1">
      <alignment vertical="center"/>
    </xf>
    <xf numFmtId="164" fontId="1" fillId="0" borderId="24" xfId="0" applyNumberFormat="1" applyFont="1" applyBorder="1" applyAlignment="1">
      <alignment horizontal="center" vertical="center"/>
    </xf>
    <xf numFmtId="164" fontId="1" fillId="0" borderId="25" xfId="0" applyNumberFormat="1" applyFont="1" applyBorder="1" applyAlignment="1">
      <alignment horizontal="center" vertical="center"/>
    </xf>
    <xf numFmtId="164" fontId="1" fillId="0" borderId="26" xfId="0" applyNumberFormat="1" applyFont="1" applyBorder="1" applyAlignment="1">
      <alignment horizontal="center" vertical="center"/>
    </xf>
    <xf numFmtId="0" fontId="1" fillId="0" borderId="11" xfId="0" applyFont="1" applyBorder="1" applyAlignment="1">
      <alignment horizontal="left" wrapText="1"/>
    </xf>
    <xf numFmtId="0" fontId="1" fillId="0" borderId="0" xfId="0" applyFont="1" applyAlignment="1">
      <alignment horizontal="left" wrapText="1"/>
    </xf>
    <xf numFmtId="0" fontId="11" fillId="0" borderId="0" xfId="0" applyFont="1" applyAlignment="1">
      <alignment horizontal="center" wrapText="1"/>
    </xf>
    <xf numFmtId="0" fontId="11" fillId="0" borderId="10" xfId="0" applyFont="1" applyBorder="1" applyAlignment="1">
      <alignment horizontal="center" wrapText="1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left" vertical="center"/>
    </xf>
    <xf numFmtId="0" fontId="7" fillId="0" borderId="23" xfId="0" applyFont="1" applyBorder="1" applyAlignment="1">
      <alignment horizontal="left" vertical="center"/>
    </xf>
    <xf numFmtId="0" fontId="1" fillId="0" borderId="11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10" xfId="0" applyFont="1" applyBorder="1" applyAlignment="1">
      <alignment vertical="top" wrapText="1"/>
    </xf>
    <xf numFmtId="0" fontId="1" fillId="0" borderId="22" xfId="0" applyFont="1" applyBorder="1" applyAlignment="1">
      <alignment horizontal="left"/>
    </xf>
    <xf numFmtId="0" fontId="1" fillId="0" borderId="23" xfId="0" applyFont="1" applyBorder="1" applyAlignment="1">
      <alignment horizontal="left"/>
    </xf>
    <xf numFmtId="0" fontId="1" fillId="0" borderId="27" xfId="0" applyFont="1" applyBorder="1" applyAlignment="1">
      <alignment horizontal="left"/>
    </xf>
    <xf numFmtId="0" fontId="4" fillId="0" borderId="28" xfId="0" applyFont="1" applyBorder="1" applyAlignment="1">
      <alignment horizontal="center" vertical="top" wrapText="1"/>
    </xf>
    <xf numFmtId="0" fontId="4" fillId="0" borderId="22" xfId="0" applyFont="1" applyBorder="1" applyAlignment="1">
      <alignment horizontal="center" vertical="top" wrapText="1"/>
    </xf>
    <xf numFmtId="0" fontId="1" fillId="0" borderId="24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wrapText="1"/>
    </xf>
    <xf numFmtId="0" fontId="4" fillId="0" borderId="29" xfId="0" applyFont="1" applyBorder="1" applyAlignment="1">
      <alignment horizontal="left" vertical="center" wrapText="1"/>
    </xf>
    <xf numFmtId="0" fontId="4" fillId="0" borderId="30" xfId="0" applyFont="1" applyBorder="1" applyAlignment="1">
      <alignment horizontal="left" vertical="center" wrapText="1"/>
    </xf>
    <xf numFmtId="15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164" fontId="12" fillId="3" borderId="1" xfId="0" applyNumberFormat="1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left" vertical="top"/>
    </xf>
    <xf numFmtId="0" fontId="7" fillId="0" borderId="4" xfId="0" applyFont="1" applyBorder="1" applyAlignment="1">
      <alignment horizontal="left" vertical="top"/>
    </xf>
    <xf numFmtId="0" fontId="7" fillId="2" borderId="14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left" vertical="center" wrapText="1"/>
    </xf>
    <xf numFmtId="0" fontId="4" fillId="2" borderId="7" xfId="0" applyFont="1" applyFill="1" applyBorder="1" applyAlignment="1">
      <alignment horizontal="left" vertical="center" wrapText="1"/>
    </xf>
    <xf numFmtId="0" fontId="4" fillId="2" borderId="16" xfId="0" applyFont="1" applyFill="1" applyBorder="1" applyAlignment="1">
      <alignment horizontal="left" vertical="center" wrapText="1"/>
    </xf>
    <xf numFmtId="0" fontId="13" fillId="0" borderId="6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4" fillId="0" borderId="7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4" fillId="2" borderId="1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13" fillId="0" borderId="11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3" fillId="0" borderId="11" xfId="0" applyFont="1" applyBorder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7" fillId="0" borderId="0" xfId="0" applyFont="1"/>
    <xf numFmtId="0" fontId="8" fillId="0" borderId="11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10" xfId="0" applyFont="1" applyBorder="1" applyAlignment="1">
      <alignment horizontal="center"/>
    </xf>
    <xf numFmtId="0" fontId="1" fillId="0" borderId="14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3" fillId="0" borderId="14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7" fillId="3" borderId="32" xfId="0" applyFont="1" applyFill="1" applyBorder="1" applyAlignment="1">
      <alignment horizontal="center"/>
    </xf>
    <xf numFmtId="0" fontId="7" fillId="3" borderId="20" xfId="0" applyFont="1" applyFill="1" applyBorder="1" applyAlignment="1">
      <alignment horizontal="center"/>
    </xf>
    <xf numFmtId="0" fontId="7" fillId="3" borderId="21" xfId="0" applyFont="1" applyFill="1" applyBorder="1" applyAlignment="1">
      <alignment horizontal="center"/>
    </xf>
    <xf numFmtId="0" fontId="7" fillId="3" borderId="33" xfId="0" applyFont="1" applyFill="1" applyBorder="1" applyAlignment="1">
      <alignment horizontal="center" wrapText="1"/>
    </xf>
    <xf numFmtId="0" fontId="7" fillId="3" borderId="23" xfId="0" applyFont="1" applyFill="1" applyBorder="1" applyAlignment="1">
      <alignment horizontal="center" wrapText="1"/>
    </xf>
    <xf numFmtId="0" fontId="7" fillId="3" borderId="23" xfId="0" applyFont="1" applyFill="1" applyBorder="1" applyAlignment="1">
      <alignment horizontal="center"/>
    </xf>
    <xf numFmtId="0" fontId="7" fillId="3" borderId="27" xfId="0" applyFont="1" applyFill="1" applyBorder="1" applyAlignment="1">
      <alignment horizontal="center"/>
    </xf>
    <xf numFmtId="0" fontId="1" fillId="0" borderId="0" xfId="0" applyFont="1" applyAlignment="1">
      <alignment wrapText="1"/>
    </xf>
    <xf numFmtId="2" fontId="1" fillId="0" borderId="33" xfId="0" applyNumberFormat="1" applyFont="1" applyBorder="1" applyAlignment="1">
      <alignment horizontal="center"/>
    </xf>
    <xf numFmtId="0" fontId="0" fillId="0" borderId="23" xfId="0" applyBorder="1"/>
    <xf numFmtId="0" fontId="7" fillId="0" borderId="23" xfId="0" applyFont="1" applyBorder="1" applyAlignment="1">
      <alignment horizontal="center"/>
    </xf>
    <xf numFmtId="165" fontId="1" fillId="0" borderId="23" xfId="0" applyNumberFormat="1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165" fontId="1" fillId="0" borderId="23" xfId="0" applyNumberFormat="1" applyFont="1" applyBorder="1"/>
    <xf numFmtId="9" fontId="1" fillId="0" borderId="23" xfId="0" applyNumberFormat="1" applyFont="1" applyBorder="1"/>
    <xf numFmtId="165" fontId="1" fillId="0" borderId="24" xfId="0" applyNumberFormat="1" applyFont="1" applyBorder="1" applyAlignment="1">
      <alignment horizontal="center"/>
    </xf>
    <xf numFmtId="0" fontId="0" fillId="0" borderId="26" xfId="0" applyBorder="1"/>
    <xf numFmtId="166" fontId="1" fillId="0" borderId="0" xfId="0" applyNumberFormat="1" applyFont="1" applyAlignment="1">
      <alignment wrapText="1"/>
    </xf>
    <xf numFmtId="0" fontId="0" fillId="0" borderId="27" xfId="0" applyBorder="1"/>
    <xf numFmtId="166" fontId="1" fillId="0" borderId="0" xfId="0" applyNumberFormat="1" applyFont="1"/>
    <xf numFmtId="2" fontId="1" fillId="0" borderId="28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2" fontId="1" fillId="0" borderId="23" xfId="0" applyNumberFormat="1" applyFont="1" applyBorder="1" applyAlignment="1">
      <alignment horizontal="center"/>
    </xf>
    <xf numFmtId="166" fontId="1" fillId="0" borderId="23" xfId="0" applyNumberFormat="1" applyFont="1" applyBorder="1" applyAlignment="1">
      <alignment horizontal="center"/>
    </xf>
    <xf numFmtId="165" fontId="1" fillId="0" borderId="27" xfId="0" applyNumberFormat="1" applyFont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165" fontId="1" fillId="2" borderId="1" xfId="0" applyNumberFormat="1" applyFont="1" applyFill="1" applyBorder="1" applyAlignment="1">
      <alignment horizontal="center"/>
    </xf>
    <xf numFmtId="165" fontId="1" fillId="2" borderId="2" xfId="0" applyNumberFormat="1" applyFont="1" applyFill="1" applyBorder="1" applyAlignment="1">
      <alignment horizontal="center"/>
    </xf>
    <xf numFmtId="165" fontId="7" fillId="3" borderId="14" xfId="0" applyNumberFormat="1" applyFont="1" applyFill="1" applyBorder="1" applyAlignment="1">
      <alignment horizontal="center"/>
    </xf>
    <xf numFmtId="165" fontId="7" fillId="3" borderId="2" xfId="0" applyNumberFormat="1" applyFont="1" applyFill="1" applyBorder="1" applyAlignment="1">
      <alignment horizontal="center"/>
    </xf>
    <xf numFmtId="165" fontId="1" fillId="3" borderId="14" xfId="0" applyNumberFormat="1" applyFont="1" applyFill="1" applyBorder="1" applyAlignment="1">
      <alignment horizontal="center"/>
    </xf>
    <xf numFmtId="165" fontId="1" fillId="3" borderId="2" xfId="0" applyNumberFormat="1" applyFont="1" applyFill="1" applyBorder="1" applyAlignment="1">
      <alignment horizontal="center"/>
    </xf>
    <xf numFmtId="0" fontId="7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15" fillId="2" borderId="6" xfId="0" applyFont="1" applyFill="1" applyBorder="1" applyAlignment="1">
      <alignment horizontal="center" vertical="center" wrapText="1"/>
    </xf>
    <xf numFmtId="0" fontId="15" fillId="2" borderId="16" xfId="0" applyFont="1" applyFill="1" applyBorder="1" applyAlignment="1">
      <alignment horizontal="center" vertical="center" wrapText="1"/>
    </xf>
    <xf numFmtId="0" fontId="15" fillId="0" borderId="6" xfId="0" applyFont="1" applyBorder="1" applyAlignment="1">
      <alignment horizontal="left" vertical="top" wrapText="1"/>
    </xf>
    <xf numFmtId="0" fontId="15" fillId="0" borderId="16" xfId="0" applyFont="1" applyBorder="1" applyAlignment="1">
      <alignment vertical="top" wrapText="1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33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165" fontId="1" fillId="0" borderId="23" xfId="0" applyNumberFormat="1" applyFont="1" applyBorder="1" applyAlignment="1">
      <alignment horizontal="left"/>
    </xf>
    <xf numFmtId="165" fontId="1" fillId="0" borderId="27" xfId="0" applyNumberFormat="1" applyFont="1" applyBorder="1" applyAlignment="1">
      <alignment horizontal="left"/>
    </xf>
    <xf numFmtId="0" fontId="12" fillId="0" borderId="0" xfId="0" applyFont="1"/>
    <xf numFmtId="0" fontId="4" fillId="0" borderId="33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1" fillId="0" borderId="33" xfId="0" applyFont="1" applyBorder="1" applyAlignment="1">
      <alignment horizontal="left" vertical="center" wrapText="1"/>
    </xf>
    <xf numFmtId="0" fontId="1" fillId="0" borderId="23" xfId="0" applyFont="1" applyBorder="1"/>
    <xf numFmtId="0" fontId="1" fillId="0" borderId="23" xfId="0" applyFont="1" applyBorder="1" applyAlignment="1">
      <alignment horizontal="left" vertical="top" wrapText="1"/>
    </xf>
    <xf numFmtId="0" fontId="1" fillId="0" borderId="27" xfId="0" applyFont="1" applyBorder="1"/>
    <xf numFmtId="0" fontId="4" fillId="0" borderId="33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  <xf numFmtId="0" fontId="1" fillId="0" borderId="23" xfId="0" applyFont="1" applyBorder="1" applyAlignment="1">
      <alignment vertical="center" wrapText="1"/>
    </xf>
    <xf numFmtId="0" fontId="4" fillId="0" borderId="35" xfId="0" applyFont="1" applyBorder="1" applyAlignment="1">
      <alignment horizontal="right"/>
    </xf>
    <xf numFmtId="0" fontId="4" fillId="0" borderId="30" xfId="0" applyFont="1" applyBorder="1" applyAlignment="1">
      <alignment horizontal="right"/>
    </xf>
    <xf numFmtId="15" fontId="11" fillId="4" borderId="31" xfId="0" applyNumberFormat="1" applyFont="1" applyFill="1" applyBorder="1"/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16" fillId="5" borderId="36" xfId="0" applyFont="1" applyFill="1" applyBorder="1" applyAlignment="1">
      <alignment horizontal="center"/>
    </xf>
    <xf numFmtId="0" fontId="16" fillId="5" borderId="37" xfId="0" applyFont="1" applyFill="1" applyBorder="1" applyAlignment="1">
      <alignment horizontal="center"/>
    </xf>
    <xf numFmtId="167" fontId="16" fillId="5" borderId="13" xfId="0" applyNumberFormat="1" applyFont="1" applyFill="1" applyBorder="1" applyAlignment="1">
      <alignment horizontal="center"/>
    </xf>
    <xf numFmtId="0" fontId="16" fillId="5" borderId="10" xfId="0" applyFont="1" applyFill="1" applyBorder="1" applyAlignment="1">
      <alignment horizontal="center"/>
    </xf>
    <xf numFmtId="15" fontId="7" fillId="0" borderId="17" xfId="0" applyNumberFormat="1" applyFont="1" applyBorder="1"/>
    <xf numFmtId="15" fontId="7" fillId="0" borderId="18" xfId="0" applyNumberFormat="1" applyFont="1" applyBorder="1"/>
    <xf numFmtId="164" fontId="7" fillId="0" borderId="19" xfId="0" applyNumberFormat="1" applyFont="1" applyBorder="1" applyAlignment="1">
      <alignment horizontal="center"/>
    </xf>
    <xf numFmtId="164" fontId="7" fillId="0" borderId="21" xfId="0" applyNumberFormat="1" applyFont="1" applyBorder="1" applyAlignment="1">
      <alignment horizontal="center"/>
    </xf>
    <xf numFmtId="164" fontId="7" fillId="0" borderId="38" xfId="0" applyNumberFormat="1" applyFont="1" applyBorder="1" applyAlignment="1">
      <alignment horizontal="center"/>
    </xf>
    <xf numFmtId="164" fontId="7" fillId="0" borderId="5" xfId="0" applyNumberFormat="1" applyFont="1" applyBorder="1" applyAlignment="1">
      <alignment horizontal="center"/>
    </xf>
    <xf numFmtId="0" fontId="7" fillId="0" borderId="35" xfId="0" applyFont="1" applyBorder="1"/>
    <xf numFmtId="0" fontId="7" fillId="0" borderId="30" xfId="0" applyFont="1" applyBorder="1"/>
    <xf numFmtId="164" fontId="7" fillId="0" borderId="30" xfId="0" applyNumberFormat="1" applyFont="1" applyBorder="1" applyAlignment="1">
      <alignment horizontal="center"/>
    </xf>
    <xf numFmtId="164" fontId="7" fillId="0" borderId="31" xfId="0" applyNumberFormat="1" applyFont="1" applyBorder="1" applyAlignment="1">
      <alignment horizontal="center"/>
    </xf>
    <xf numFmtId="164" fontId="1" fillId="0" borderId="0" xfId="0" applyNumberFormat="1" applyFont="1"/>
    <xf numFmtId="0" fontId="7" fillId="3" borderId="14" xfId="0" applyFont="1" applyFill="1" applyBorder="1" applyAlignment="1">
      <alignment horizontal="right"/>
    </xf>
    <xf numFmtId="0" fontId="7" fillId="3" borderId="1" xfId="0" applyFont="1" applyFill="1" applyBorder="1" applyAlignment="1">
      <alignment horizontal="right"/>
    </xf>
    <xf numFmtId="164" fontId="7" fillId="3" borderId="1" xfId="0" applyNumberFormat="1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7" fillId="6" borderId="3" xfId="0" applyFont="1" applyFill="1" applyBorder="1" applyAlignment="1">
      <alignment vertical="center" wrapText="1"/>
    </xf>
    <xf numFmtId="0" fontId="17" fillId="6" borderId="5" xfId="0" applyFont="1" applyFill="1" applyBorder="1" applyAlignment="1">
      <alignment vertical="center" wrapText="1"/>
    </xf>
    <xf numFmtId="0" fontId="18" fillId="0" borderId="39" xfId="0" applyFont="1" applyBorder="1" applyAlignment="1">
      <alignment vertical="center" wrapText="1"/>
    </xf>
    <xf numFmtId="0" fontId="18" fillId="0" borderId="2" xfId="0" applyFont="1" applyBorder="1" applyAlignment="1">
      <alignment vertical="center" wrapText="1"/>
    </xf>
    <xf numFmtId="0" fontId="19" fillId="0" borderId="39" xfId="0" applyFont="1" applyBorder="1" applyAlignment="1">
      <alignment vertical="center" wrapText="1"/>
    </xf>
    <xf numFmtId="0" fontId="19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2"/>
  <sheetViews>
    <sheetView workbookViewId="0" zoomScale="100" zoomScaleNormal="100">
      <selection activeCell="D44" sqref="D44"/>
    </sheetView>
  </sheetViews>
  <sheetFormatPr defaultRowHeight="12" outlineLevelRow="0" outlineLevelCol="0" x14ac:dyDescent="0.2" defaultColWidth="9.28515625" customHeight="1"/>
  <cols>
    <col min="1" max="1" width="7.28515625" style="1" customWidth="1"/>
    <col min="2" max="2" width="6.7109375" style="1" customWidth="1"/>
    <col min="3" max="3" width="6" style="1" customWidth="1"/>
    <col min="4" max="4" width="8" style="1" customWidth="1"/>
    <col min="5" max="5" width="5.85546875" style="1" customWidth="1"/>
    <col min="6" max="6" width="12.7109375" style="1" customWidth="1"/>
    <col min="7" max="7" width="8" style="1" customWidth="1"/>
    <col min="8" max="8" width="12.28515625" style="1" customWidth="1"/>
    <col min="9" max="9" width="11.28515625" style="1" customWidth="1"/>
    <col min="10" max="10" width="7.28515625" style="1" customWidth="1"/>
    <col min="11" max="11" width="10.5703125" style="1" customWidth="1"/>
    <col min="12" max="13" width="9.85546875" style="1" customWidth="1"/>
    <col min="14" max="16384" width="9.28515625" style="1" customWidth="1"/>
  </cols>
  <sheetData>
    <row r="1" ht="15.75" customHeight="1" spans="1:11" x14ac:dyDescent="0.25">
      <c r="A1" s="2" t="s">
        <v>0</v>
      </c>
      <c r="B1" s="2"/>
      <c r="C1" s="2"/>
      <c r="D1" s="2"/>
      <c r="E1" s="2"/>
      <c r="F1" s="2"/>
      <c r="G1" s="3"/>
      <c r="H1" s="4"/>
      <c r="I1" s="5"/>
      <c r="J1" s="5"/>
      <c r="K1" s="6"/>
    </row>
    <row r="2" ht="14.45" customHeight="1" spans="1:11" x14ac:dyDescent="0.25">
      <c r="A2" s="7"/>
      <c r="B2" s="8"/>
      <c r="C2" s="8"/>
      <c r="D2" s="8"/>
      <c r="E2" s="9"/>
      <c r="F2" s="10" t="s">
        <v>1</v>
      </c>
      <c r="G2" s="11"/>
      <c r="H2" s="12" t="s">
        <v>2</v>
      </c>
      <c r="I2" s="12"/>
      <c r="J2" s="12"/>
      <c r="K2" s="13"/>
    </row>
    <row r="3" spans="1:11" x14ac:dyDescent="0.25">
      <c r="A3" s="14" t="s">
        <v>3</v>
      </c>
      <c r="B3" s="15" t="s">
        <v>4</v>
      </c>
      <c r="C3" s="15"/>
      <c r="D3" s="15" t="s">
        <v>5</v>
      </c>
      <c r="E3" s="16"/>
      <c r="F3" s="17" t="s">
        <v>6</v>
      </c>
      <c r="G3" s="18"/>
      <c r="H3" s="12" t="s">
        <v>7</v>
      </c>
      <c r="I3" s="12"/>
      <c r="J3" s="12"/>
      <c r="K3" s="13"/>
    </row>
    <row r="4" spans="1:11" x14ac:dyDescent="0.25">
      <c r="A4" s="14"/>
      <c r="B4" s="15"/>
      <c r="C4" s="15"/>
      <c r="D4"/>
      <c r="E4" s="16"/>
      <c r="F4" s="17"/>
      <c r="G4" s="18"/>
      <c r="H4" s="12"/>
      <c r="I4" s="12"/>
      <c r="J4" s="12"/>
      <c r="K4" s="13"/>
    </row>
    <row r="5" ht="12.75" customHeight="1" spans="1:11" x14ac:dyDescent="0.25">
      <c r="A5" s="19" t="s">
        <v>8</v>
      </c>
      <c r="B5" s="20"/>
      <c r="C5" s="20" t="s">
        <v>9</v>
      </c>
      <c r="D5" s="20"/>
      <c r="E5" s="20"/>
      <c r="F5" s="21"/>
      <c r="G5" s="22"/>
      <c r="H5" s="23"/>
      <c r="I5" s="23"/>
      <c r="J5" s="23"/>
      <c r="K5" s="24"/>
    </row>
    <row r="6" spans="1:11" x14ac:dyDescent="0.25">
      <c r="A6" s="1" t="s">
        <v>10</v>
      </c>
      <c r="C6" s="25" t="s">
        <v>11</v>
      </c>
      <c r="D6" s="12" t="s">
        <v>12</v>
      </c>
      <c r="E6" s="12" t="s">
        <v>13</v>
      </c>
      <c r="F6" s="13" t="s">
        <v>14</v>
      </c>
      <c r="G6" s="7"/>
      <c r="H6" s="8" t="s">
        <v>15</v>
      </c>
      <c r="I6" s="8"/>
      <c r="J6" s="8" t="s">
        <v>16</v>
      </c>
      <c r="K6" s="26"/>
    </row>
    <row r="7" spans="1:11" x14ac:dyDescent="0.25">
      <c r="A7" s="27" t="s">
        <v>17</v>
      </c>
      <c r="B7" s="28"/>
      <c r="C7" s="25" t="s">
        <v>18</v>
      </c>
      <c r="D7" s="12">
        <v>1</v>
      </c>
      <c r="E7" s="12" t="s">
        <v>19</v>
      </c>
      <c r="F7" s="13">
        <v>2026</v>
      </c>
      <c r="G7" s="29" t="s">
        <v>20</v>
      </c>
      <c r="H7" s="30"/>
      <c r="I7" s="30"/>
      <c r="J7" s="30"/>
      <c r="K7" s="31"/>
    </row>
    <row r="8" ht="12.75" customHeight="1" spans="1:11" x14ac:dyDescent="0.25">
      <c r="A8" s="20"/>
      <c r="B8" s="32"/>
      <c r="C8" s="25" t="s">
        <v>21</v>
      </c>
      <c r="D8" s="12">
        <v>31</v>
      </c>
      <c r="E8" s="12" t="s">
        <v>22</v>
      </c>
      <c r="F8" s="13">
        <v>2034</v>
      </c>
      <c r="G8" s="29" t="s">
        <v>23</v>
      </c>
      <c r="H8" s="30"/>
      <c r="I8" s="30"/>
      <c r="J8" s="30"/>
      <c r="K8" s="31"/>
    </row>
    <row r="9" spans="1:11" x14ac:dyDescent="0.25">
      <c r="A9" s="33" t="s">
        <v>24</v>
      </c>
      <c r="B9" s="34"/>
      <c r="C9" s="11" t="s">
        <v>25</v>
      </c>
      <c r="D9" s="11"/>
      <c r="E9" s="35" t="s">
        <v>26</v>
      </c>
      <c r="F9" s="36"/>
      <c r="G9" s="37"/>
      <c r="H9" s="38"/>
      <c r="I9" s="38"/>
      <c r="J9" s="38"/>
      <c r="K9" s="39"/>
    </row>
    <row r="10" ht="12.75" customHeight="1" spans="1:11" x14ac:dyDescent="0.25">
      <c r="A10" s="40"/>
      <c r="B10" s="41"/>
      <c r="C10" s="20" t="s">
        <v>27</v>
      </c>
      <c r="D10" s="20"/>
      <c r="E10" s="42"/>
      <c r="F10" s="43"/>
      <c r="G10" s="44"/>
      <c r="H10" s="45"/>
      <c r="I10" s="45"/>
      <c r="J10" s="45"/>
      <c r="K10" s="46"/>
    </row>
    <row r="11" ht="12.75" customHeight="1" spans="1:11" x14ac:dyDescent="0.25">
      <c r="A11" s="47" t="s">
        <v>28</v>
      </c>
      <c r="B11" s="48"/>
      <c r="C11" s="48"/>
      <c r="D11" s="8" t="s">
        <v>7</v>
      </c>
      <c r="E11" s="8"/>
      <c r="F11" s="26"/>
      <c r="G11" s="47" t="s">
        <v>29</v>
      </c>
      <c r="H11" s="48"/>
      <c r="I11" s="8" t="s">
        <v>30</v>
      </c>
      <c r="J11" s="8"/>
      <c r="K11" s="26"/>
    </row>
    <row r="12" spans="1:11" x14ac:dyDescent="0.25">
      <c r="A12" s="49" t="s">
        <v>31</v>
      </c>
      <c r="B12" s="50"/>
      <c r="C12" s="50"/>
      <c r="D12" s="51" t="s">
        <v>26</v>
      </c>
      <c r="E12" s="51"/>
      <c r="F12" s="52"/>
      <c r="G12" s="49" t="s">
        <v>31</v>
      </c>
      <c r="H12" s="50"/>
      <c r="I12" s="8" t="s">
        <v>32</v>
      </c>
      <c r="J12" s="8"/>
      <c r="K12" s="26"/>
    </row>
    <row r="13" ht="15" customHeight="1" spans="1:11" x14ac:dyDescent="0.25">
      <c r="A13" s="25" t="s">
        <v>33</v>
      </c>
      <c r="B13" s="12" t="s">
        <v>26</v>
      </c>
      <c r="C13" s="12"/>
      <c r="D13" s="1" t="s">
        <v>34</v>
      </c>
      <c r="E13" s="53" t="s">
        <v>26</v>
      </c>
      <c r="F13" s="13"/>
      <c r="G13" s="25" t="s">
        <v>33</v>
      </c>
      <c r="H13" s="1" t="s">
        <v>26</v>
      </c>
      <c r="I13" s="1" t="s">
        <v>34</v>
      </c>
      <c r="J13" s="53" t="s">
        <v>26</v>
      </c>
      <c r="K13" s="13"/>
    </row>
    <row r="14" ht="12" customHeight="1" spans="1:11" x14ac:dyDescent="0.25">
      <c r="A14" s="54" t="s">
        <v>35</v>
      </c>
      <c r="B14" s="55"/>
      <c r="C14" s="55"/>
      <c r="D14" s="55"/>
      <c r="E14" s="55"/>
      <c r="F14" s="56"/>
      <c r="G14" s="57" t="s">
        <v>36</v>
      </c>
      <c r="H14" s="58"/>
      <c r="I14" s="58"/>
      <c r="J14" s="58"/>
      <c r="K14" s="59"/>
    </row>
    <row r="15" spans="1:11" x14ac:dyDescent="0.25">
      <c r="A15" s="60" t="s">
        <v>26</v>
      </c>
      <c r="B15" s="51"/>
      <c r="C15" s="51"/>
      <c r="D15" s="51"/>
      <c r="E15" s="51"/>
      <c r="F15" s="52"/>
      <c r="G15" s="60" t="s">
        <v>26</v>
      </c>
      <c r="H15" s="51"/>
      <c r="I15" s="51"/>
      <c r="J15" s="51"/>
      <c r="K15" s="52"/>
    </row>
    <row r="16" ht="12" customHeight="1" spans="1:11" x14ac:dyDescent="0.25">
      <c r="A16" s="61" t="s">
        <v>37</v>
      </c>
      <c r="B16" s="62"/>
      <c r="C16" s="62"/>
      <c r="D16" s="62" t="s">
        <v>38</v>
      </c>
      <c r="E16" s="62"/>
      <c r="F16" s="63" t="s">
        <v>39</v>
      </c>
      <c r="G16" s="61" t="s">
        <v>37</v>
      </c>
      <c r="H16" s="62"/>
      <c r="I16" s="62" t="s">
        <v>38</v>
      </c>
      <c r="J16" s="62"/>
      <c r="K16" s="63" t="s">
        <v>39</v>
      </c>
    </row>
    <row r="17" ht="14.25" customHeight="1" spans="1:11" x14ac:dyDescent="0.25">
      <c r="A17" s="64" t="s">
        <v>40</v>
      </c>
      <c r="B17" s="12"/>
      <c r="C17" s="12"/>
      <c r="D17" s="12" t="s">
        <v>41</v>
      </c>
      <c r="E17" s="12"/>
      <c r="F17" s="13" t="s">
        <v>26</v>
      </c>
      <c r="G17" s="64" t="s">
        <v>40</v>
      </c>
      <c r="H17" s="12"/>
      <c r="I17" s="12" t="s">
        <v>41</v>
      </c>
      <c r="J17" s="12"/>
      <c r="K17" s="13" t="s">
        <v>26</v>
      </c>
    </row>
    <row r="18" ht="10.5" customHeight="1" hidden="1" spans="1:11" x14ac:dyDescent="0.25">
      <c r="A18" s="65"/>
      <c r="B18" s="23"/>
      <c r="C18" s="23"/>
      <c r="D18" s="23"/>
      <c r="E18" s="23"/>
      <c r="F18" s="24"/>
      <c r="G18" s="66"/>
      <c r="H18" s="67"/>
      <c r="I18" s="68"/>
      <c r="J18" s="68"/>
      <c r="K18" s="69"/>
    </row>
    <row r="19" spans="1:11" x14ac:dyDescent="0.25">
      <c r="A19" s="70" t="s">
        <v>42</v>
      </c>
      <c r="B19" s="71"/>
      <c r="C19" s="71"/>
      <c r="D19" s="71"/>
      <c r="E19" s="71"/>
      <c r="F19" s="72"/>
      <c r="G19" s="33" t="s">
        <v>43</v>
      </c>
      <c r="H19" s="48" t="s">
        <v>44</v>
      </c>
      <c r="I19" s="11" t="s">
        <v>45</v>
      </c>
      <c r="J19" s="11"/>
      <c r="K19" s="73" t="s">
        <v>46</v>
      </c>
    </row>
    <row r="20" ht="12.4" customHeight="1" spans="1:11" x14ac:dyDescent="0.25">
      <c r="A20" s="74" t="s">
        <v>47</v>
      </c>
      <c r="B20" s="75"/>
      <c r="C20" s="75"/>
      <c r="D20" s="75"/>
      <c r="E20" s="75"/>
      <c r="F20" s="76"/>
      <c r="G20" s="74"/>
      <c r="H20" s="1" t="s">
        <v>48</v>
      </c>
      <c r="I20" s="27" t="s">
        <v>49</v>
      </c>
      <c r="J20" s="27"/>
      <c r="K20" s="77" t="s">
        <v>50</v>
      </c>
    </row>
    <row r="21" ht="12.4" customHeight="1" spans="1:11" x14ac:dyDescent="0.25">
      <c r="A21" s="61" t="s">
        <v>37</v>
      </c>
      <c r="B21" s="62"/>
      <c r="C21" s="62"/>
      <c r="D21" s="62" t="s">
        <v>38</v>
      </c>
      <c r="E21" s="62"/>
      <c r="F21" s="63" t="s">
        <v>39</v>
      </c>
      <c r="G21" s="40"/>
      <c r="H21" s="41"/>
      <c r="I21" s="41"/>
      <c r="J21" s="41"/>
      <c r="K21" s="78"/>
    </row>
    <row r="22" ht="12.75" customHeight="1" spans="1:11" x14ac:dyDescent="0.25">
      <c r="A22" s="74" t="s">
        <v>40</v>
      </c>
      <c r="B22" s="75"/>
      <c r="C22" s="75"/>
      <c r="D22" s="75" t="s">
        <v>41</v>
      </c>
      <c r="E22" s="75"/>
      <c r="F22" s="76" t="s">
        <v>26</v>
      </c>
      <c r="G22" s="79" t="s">
        <v>51</v>
      </c>
      <c r="H22" s="80"/>
      <c r="I22" s="80"/>
      <c r="J22" s="80"/>
      <c r="K22" s="81"/>
    </row>
    <row r="23" ht="12.75" customHeight="1" spans="1:11" x14ac:dyDescent="0.25">
      <c r="A23" s="19" t="s">
        <v>52</v>
      </c>
      <c r="B23" s="20"/>
      <c r="C23" s="82" t="s">
        <v>53</v>
      </c>
      <c r="D23" s="67"/>
      <c r="E23" s="82" t="s">
        <v>54</v>
      </c>
      <c r="F23" s="83"/>
      <c r="G23" s="84" t="s">
        <v>55</v>
      </c>
      <c r="H23" s="85"/>
      <c r="I23" s="86">
        <v>954</v>
      </c>
      <c r="J23" s="87"/>
      <c r="K23" s="88"/>
    </row>
    <row r="24" spans="1:11" x14ac:dyDescent="0.25">
      <c r="A24" s="89" t="s">
        <v>56</v>
      </c>
      <c r="B24" s="90"/>
      <c r="C24" s="90"/>
      <c r="D24" s="91" t="s">
        <v>26</v>
      </c>
      <c r="E24" s="91"/>
      <c r="F24" s="92"/>
      <c r="G24" s="93" t="s">
        <v>57</v>
      </c>
      <c r="H24" s="94"/>
      <c r="I24" s="95">
        <v>20</v>
      </c>
      <c r="J24" s="96"/>
      <c r="K24" s="97"/>
    </row>
    <row r="25" ht="15" customHeight="1" spans="1:11" x14ac:dyDescent="0.25">
      <c r="A25" s="98" t="s">
        <v>31</v>
      </c>
      <c r="B25" s="99"/>
      <c r="C25" s="99"/>
      <c r="D25" s="100" t="s">
        <v>26</v>
      </c>
      <c r="E25" s="100"/>
      <c r="F25" s="101"/>
      <c r="G25" s="93" t="s">
        <v>58</v>
      </c>
      <c r="H25" s="94"/>
      <c r="I25" s="102">
        <v>2</v>
      </c>
      <c r="J25" s="103"/>
      <c r="K25" s="104"/>
    </row>
    <row r="26" spans="1:11" x14ac:dyDescent="0.25">
      <c r="A26" s="105" t="s">
        <v>59</v>
      </c>
      <c r="B26" s="106"/>
      <c r="C26" s="106"/>
      <c r="D26" s="106"/>
      <c r="E26" s="106"/>
      <c r="F26" s="107"/>
      <c r="G26" s="108" t="s">
        <v>60</v>
      </c>
      <c r="H26" s="109"/>
      <c r="I26" s="95">
        <v>5.77</v>
      </c>
      <c r="J26" s="96"/>
      <c r="K26" s="97"/>
    </row>
    <row r="27" ht="13.9" customHeight="1" spans="1:11" x14ac:dyDescent="0.25">
      <c r="A27" s="74" t="s">
        <v>26</v>
      </c>
      <c r="B27" s="75"/>
      <c r="C27" s="75"/>
      <c r="D27" s="75"/>
      <c r="E27" s="75"/>
      <c r="F27" s="76"/>
      <c r="G27" s="93" t="s">
        <v>61</v>
      </c>
      <c r="H27" s="94"/>
      <c r="I27" s="95" t="s">
        <v>26</v>
      </c>
      <c r="J27" s="96"/>
      <c r="K27" s="97"/>
    </row>
    <row r="28" ht="15" customHeight="1" hidden="1" spans="1:11" x14ac:dyDescent="0.25">
      <c r="A28" s="110"/>
      <c r="B28" s="111"/>
      <c r="C28" s="111"/>
      <c r="D28" s="111"/>
      <c r="E28" s="111"/>
      <c r="F28" s="112"/>
      <c r="G28" s="113"/>
      <c r="H28" s="114"/>
      <c r="I28" s="114"/>
      <c r="J28" s="114"/>
      <c r="K28" s="115"/>
    </row>
    <row r="29" spans="1:11" x14ac:dyDescent="0.25">
      <c r="A29" s="61" t="s">
        <v>37</v>
      </c>
      <c r="B29" s="62"/>
      <c r="C29" s="62"/>
      <c r="D29" s="62" t="s">
        <v>38</v>
      </c>
      <c r="E29" s="62"/>
      <c r="F29" s="63" t="s">
        <v>39</v>
      </c>
      <c r="G29" s="116"/>
      <c r="H29" s="117"/>
      <c r="I29" s="118"/>
      <c r="J29" s="119"/>
      <c r="K29" s="120"/>
    </row>
    <row r="30" ht="12.75" customHeight="1" spans="1:11" x14ac:dyDescent="0.25">
      <c r="A30" s="121" t="s">
        <v>26</v>
      </c>
      <c r="B30" s="30"/>
      <c r="C30" s="30"/>
      <c r="D30" s="30" t="s">
        <v>26</v>
      </c>
      <c r="E30" s="30"/>
      <c r="F30" s="31" t="s">
        <v>26</v>
      </c>
      <c r="G30" s="122" t="s">
        <v>62</v>
      </c>
      <c r="H30" s="123"/>
      <c r="I30" s="124" t="s">
        <v>63</v>
      </c>
      <c r="J30" s="125"/>
      <c r="K30" s="126"/>
    </row>
    <row r="31" ht="12.75" customHeight="1" spans="1:11" x14ac:dyDescent="0.25">
      <c r="A31" s="44" t="s">
        <v>64</v>
      </c>
      <c r="B31" s="45"/>
      <c r="C31" s="45"/>
      <c r="D31" s="45"/>
      <c r="E31" s="127" t="s">
        <v>26</v>
      </c>
      <c r="F31" s="127"/>
      <c r="G31" s="128" t="s">
        <v>65</v>
      </c>
      <c r="H31" s="129"/>
      <c r="I31" s="129"/>
      <c r="J31" s="129"/>
      <c r="K31" s="130"/>
    </row>
    <row r="32" ht="12.75" customHeight="1" spans="1:11" x14ac:dyDescent="0.25">
      <c r="A32" s="131"/>
      <c r="B32" s="132"/>
      <c r="C32" s="132"/>
      <c r="D32" s="132"/>
      <c r="E32" s="132"/>
      <c r="F32" s="132"/>
      <c r="G32" s="133"/>
      <c r="H32" s="134"/>
      <c r="I32" s="134"/>
      <c r="J32" s="134"/>
      <c r="K32" s="135"/>
    </row>
    <row r="33" ht="12.75" customHeight="1" spans="1:11" x14ac:dyDescent="0.25">
      <c r="A33" s="136" t="s">
        <v>66</v>
      </c>
      <c r="B33" s="137"/>
      <c r="C33" s="137"/>
      <c r="D33" s="137"/>
      <c r="E33" s="137"/>
      <c r="F33" s="138"/>
      <c r="G33" s="139" t="s">
        <v>67</v>
      </c>
      <c r="H33" s="140"/>
      <c r="I33" s="141" t="s">
        <v>68</v>
      </c>
      <c r="J33" s="141"/>
      <c r="K33" s="142"/>
    </row>
    <row r="34" ht="12.75" customHeight="1" spans="1:11" x14ac:dyDescent="0.25">
      <c r="A34" s="143"/>
      <c r="B34" s="144"/>
      <c r="C34" s="144"/>
      <c r="D34" s="144"/>
      <c r="E34" s="144"/>
      <c r="F34" s="145"/>
      <c r="G34" s="146" t="s">
        <v>69</v>
      </c>
      <c r="H34" s="147"/>
      <c r="I34" s="148" t="s">
        <v>26</v>
      </c>
      <c r="J34" s="148"/>
      <c r="K34" s="149"/>
    </row>
    <row r="35" ht="15.6" customHeight="1" spans="1:11" x14ac:dyDescent="0.25">
      <c r="A35" s="105" t="s">
        <v>26</v>
      </c>
      <c r="B35" s="106"/>
      <c r="C35" s="106"/>
      <c r="D35" s="106"/>
      <c r="E35" s="106"/>
      <c r="F35" s="107"/>
      <c r="G35" s="146" t="s">
        <v>70</v>
      </c>
      <c r="H35" s="147"/>
      <c r="I35" s="148" t="s">
        <v>71</v>
      </c>
      <c r="J35" s="148"/>
      <c r="K35" s="149"/>
    </row>
    <row r="36" ht="16.15" customHeight="1" spans="1:17" x14ac:dyDescent="0.25">
      <c r="A36" s="74"/>
      <c r="B36" s="75"/>
      <c r="C36" s="75"/>
      <c r="D36" s="75"/>
      <c r="E36" s="75"/>
      <c r="F36" s="76"/>
      <c r="G36" s="150" t="s">
        <v>72</v>
      </c>
      <c r="H36" s="151"/>
      <c r="I36" s="148" t="s">
        <v>73</v>
      </c>
      <c r="J36" s="148"/>
      <c r="K36" s="149"/>
      <c r="Q36" s="152"/>
    </row>
    <row r="37" ht="13.9" customHeight="1" spans="1:11" x14ac:dyDescent="0.25">
      <c r="A37" s="153" t="s">
        <v>37</v>
      </c>
      <c r="B37" s="154"/>
      <c r="C37" s="154"/>
      <c r="D37" s="154" t="s">
        <v>38</v>
      </c>
      <c r="E37" s="154"/>
      <c r="F37" s="155" t="s">
        <v>39</v>
      </c>
      <c r="G37" s="150"/>
      <c r="H37" s="151"/>
      <c r="I37" s="148"/>
      <c r="J37" s="148"/>
      <c r="K37" s="149"/>
    </row>
    <row r="38" ht="13.5" customHeight="1" spans="1:11" x14ac:dyDescent="0.25">
      <c r="A38" s="156" t="s">
        <v>26</v>
      </c>
      <c r="B38" s="157"/>
      <c r="C38" s="157"/>
      <c r="D38" s="157" t="s">
        <v>26</v>
      </c>
      <c r="E38" s="157"/>
      <c r="F38" s="158" t="s">
        <v>26</v>
      </c>
      <c r="G38" s="159" t="s">
        <v>74</v>
      </c>
      <c r="H38" s="160"/>
      <c r="I38" s="161" t="s">
        <v>26</v>
      </c>
      <c r="J38" s="161"/>
      <c r="K38" s="162"/>
    </row>
    <row r="39" ht="15" customHeight="1" spans="1:11" x14ac:dyDescent="0.25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4"/>
    </row>
    <row r="40" spans="1:11" x14ac:dyDescent="0.25">
      <c r="A40" s="163" t="s">
        <v>75</v>
      </c>
      <c r="B40" s="164"/>
      <c r="C40" s="164"/>
      <c r="D40" s="164"/>
      <c r="E40" s="164"/>
      <c r="F40" s="164"/>
      <c r="G40" s="164"/>
      <c r="H40" s="164"/>
      <c r="I40" s="164"/>
      <c r="J40" s="164"/>
      <c r="K40" s="165"/>
    </row>
    <row r="41" spans="1:11" x14ac:dyDescent="0.25">
      <c r="A41" s="166" t="s">
        <v>76</v>
      </c>
      <c r="B41" s="167"/>
      <c r="C41" s="167" t="s">
        <v>77</v>
      </c>
      <c r="D41" s="167" t="s">
        <v>78</v>
      </c>
      <c r="E41" s="167"/>
      <c r="F41" s="167" t="s">
        <v>77</v>
      </c>
      <c r="G41" s="167" t="s">
        <v>79</v>
      </c>
      <c r="H41" s="168" t="s">
        <v>80</v>
      </c>
      <c r="I41" s="167" t="s">
        <v>81</v>
      </c>
      <c r="J41" s="168" t="s">
        <v>82</v>
      </c>
      <c r="K41" s="169"/>
    </row>
    <row r="42" ht="15.6" customHeight="1" spans="1:12" s="170" customFormat="1" x14ac:dyDescent="0.25">
      <c r="A42" s="171">
        <f>$I$23</f>
        <v>2111</v>
      </c>
      <c r="B42" s="172"/>
      <c r="C42" s="173" t="s">
        <v>77</v>
      </c>
      <c r="D42" s="174">
        <v>1.5</v>
      </c>
      <c r="E42" s="174"/>
      <c r="F42" s="173" t="s">
        <v>77</v>
      </c>
      <c r="G42" s="175">
        <v>5</v>
      </c>
      <c r="H42" s="176">
        <f t="shared" ref="H42:H47" si="0">A42*D42*G42</f>
        <v>353592.5</v>
      </c>
      <c r="I42" s="177">
        <v>1</v>
      </c>
      <c r="J42" s="178">
        <f>H42*I42</f>
        <v>17679.625</v>
      </c>
      <c r="K42" s="179"/>
      <c r="L42" s="180"/>
    </row>
    <row r="43" ht="15.6" customHeight="1" spans="1:14" x14ac:dyDescent="0.25">
      <c r="A43" s="171">
        <f>$I$23</f>
        <v>2111</v>
      </c>
      <c r="B43" s="172"/>
      <c r="C43" s="173" t="s">
        <v>77</v>
      </c>
      <c r="D43" s="174">
        <v>0.5</v>
      </c>
      <c r="E43" s="174"/>
      <c r="F43" s="173" t="s">
        <v>77</v>
      </c>
      <c r="G43" s="175">
        <v>5</v>
      </c>
      <c r="H43" s="176">
        <f t="shared" si="0"/>
        <v>369425</v>
      </c>
      <c r="I43" s="177">
        <v>1</v>
      </c>
      <c r="J43" s="174">
        <f>H43*I43</f>
        <v>7388.5</v>
      </c>
      <c r="K43" s="181"/>
      <c r="N43" s="12"/>
    </row>
    <row r="44" ht="15.6" customHeight="1" spans="1:12" x14ac:dyDescent="0.25">
      <c r="A44" s="171">
        <f>$I$23</f>
      </c>
      <c r="B44" s="172"/>
      <c r="C44" s="173"/>
      <c r="D44" s="174">
        <v>0</v>
      </c>
      <c r="E44" s="174"/>
      <c r="F44" s="173"/>
      <c r="G44" s="175">
        <v>0</v>
      </c>
      <c r="H44" s="176">
        <f>A44*D44*G44</f>
      </c>
      <c r="I44" s="177">
        <v>0</v>
      </c>
      <c r="J44" s="174">
        <f>H44*I44</f>
      </c>
      <c r="K44" s="181"/>
      <c r="L44" s="182"/>
    </row>
    <row r="45" ht="15.6" customHeight="1" spans="1:11" x14ac:dyDescent="0.25">
      <c r="A45" s="171">
        <f>$I$23</f>
      </c>
      <c r="B45" s="172"/>
      <c r="C45" s="173" t="s">
        <v>77</v>
      </c>
      <c r="D45" s="174">
        <v>0</v>
      </c>
      <c r="E45" s="174"/>
      <c r="F45" s="173" t="s">
        <v>77</v>
      </c>
      <c r="G45" s="175">
        <v>0</v>
      </c>
      <c r="H45" s="176">
        <f t="shared" ref="H45" si="1">A45*D45*G45</f>
        <v>0</v>
      </c>
      <c r="I45" s="177">
        <v>0</v>
      </c>
      <c r="J45" s="174">
        <f t="shared" ref="J45" si="2">H45*I45</f>
        <v>0</v>
      </c>
      <c r="K45" s="181"/>
    </row>
    <row r="46" ht="15.6" customHeight="1" spans="1:11" x14ac:dyDescent="0.25">
      <c r="A46" s="183">
        <f>$I$23</f>
      </c>
      <c r="B46" s="184"/>
      <c r="C46" s="173" t="s">
        <v>77</v>
      </c>
      <c r="D46" s="174">
        <v>0</v>
      </c>
      <c r="E46" s="174"/>
      <c r="F46" s="173" t="s">
        <v>77</v>
      </c>
      <c r="G46" s="175">
        <v>0</v>
      </c>
      <c r="H46" s="176">
        <f t="shared" ref="H46" si="3">A46*D46*G46</f>
        <v>0</v>
      </c>
      <c r="I46" s="177">
        <v>0</v>
      </c>
      <c r="J46" s="174">
        <f t="shared" ref="J46" si="4">H46*I46</f>
        <v>0</v>
      </c>
      <c r="K46" s="181"/>
    </row>
    <row r="47" ht="15.6" customHeight="1" spans="1:11" x14ac:dyDescent="0.25">
      <c r="A47" s="171">
        <f>$I$23</f>
      </c>
      <c r="B47" s="185"/>
      <c r="C47" s="173" t="s">
        <v>77</v>
      </c>
      <c r="D47" s="174">
        <v>0</v>
      </c>
      <c r="E47" s="174"/>
      <c r="F47" s="173" t="s">
        <v>77</v>
      </c>
      <c r="G47" s="186">
        <v>0</v>
      </c>
      <c r="H47" s="176">
        <f t="shared" si="0"/>
        <v>0</v>
      </c>
      <c r="I47" s="177">
        <v>0</v>
      </c>
      <c r="J47" s="174">
        <f>H47*I47</f>
        <v>0</v>
      </c>
      <c r="K47" s="187"/>
    </row>
    <row r="48" ht="12.75" customHeight="1" spans="1:11" x14ac:dyDescent="0.25">
      <c r="A48" s="188" t="s">
        <v>83</v>
      </c>
      <c r="B48" s="189"/>
      <c r="C48" s="189"/>
      <c r="D48" s="189"/>
      <c r="E48" s="190">
        <f>SUM(H42:H48)</f>
        <v>723017.5</v>
      </c>
      <c r="F48" s="191"/>
      <c r="G48" s="23"/>
      <c r="H48" s="192" t="s">
        <v>84</v>
      </c>
      <c r="I48" s="193"/>
      <c r="J48" s="194">
        <f>SUM(J42:K47)</f>
        <v>25068.125</v>
      </c>
      <c r="K48" s="195"/>
    </row>
    <row r="49" ht="36.75" customHeight="1" spans="1:11" x14ac:dyDescent="0.25">
      <c r="A49" s="196" t="s">
        <v>85</v>
      </c>
      <c r="B49" s="197"/>
      <c r="C49" s="197"/>
      <c r="D49" s="197"/>
      <c r="E49" s="197"/>
      <c r="F49" s="197"/>
      <c r="G49" s="198"/>
      <c r="H49" s="199" t="s">
        <v>86</v>
      </c>
      <c r="I49" s="200"/>
      <c r="J49" s="201" t="s">
        <v>87</v>
      </c>
      <c r="K49" s="202" t="s">
        <v>88</v>
      </c>
    </row>
    <row r="50" spans="1:13" x14ac:dyDescent="0.25">
      <c r="A50" s="7" t="s">
        <v>89</v>
      </c>
      <c r="B50" s="8"/>
      <c r="C50" s="8"/>
      <c r="D50" s="12" t="s">
        <v>90</v>
      </c>
      <c r="E50" s="12"/>
      <c r="F50" s="12" t="s">
        <v>91</v>
      </c>
      <c r="G50" s="13" t="s">
        <v>92</v>
      </c>
      <c r="H50" s="203" t="s">
        <v>93</v>
      </c>
      <c r="I50" s="204"/>
      <c r="J50" s="204"/>
      <c r="K50" s="205"/>
      <c r="M50" s="182"/>
    </row>
    <row r="51" spans="1:17" x14ac:dyDescent="0.25">
      <c r="A51" s="206" t="s">
        <v>94</v>
      </c>
      <c r="B51" s="207"/>
      <c r="C51" s="207"/>
      <c r="D51" s="12"/>
      <c r="E51" s="12"/>
      <c r="F51" s="208">
        <f>=J48*0.5</f>
        <v>0</v>
      </c>
      <c r="G51" s="28"/>
      <c r="H51" s="209" t="s">
        <v>95</v>
      </c>
      <c r="I51" s="210"/>
      <c r="J51" s="211" t="s">
        <v>26</v>
      </c>
      <c r="K51" s="212"/>
      <c r="M51" s="182"/>
      <c r="Q51" s="213"/>
    </row>
    <row r="52" spans="1:17" x14ac:dyDescent="0.25">
      <c r="A52" s="64" t="s">
        <v>94</v>
      </c>
      <c r="B52" s="12"/>
      <c r="C52" s="12"/>
      <c r="D52" s="12" t="s">
        <v>96</v>
      </c>
      <c r="E52" s="12"/>
      <c r="F52" s="208">
        <f>=$F$51*0.385</f>
        <v>0</v>
      </c>
      <c r="G52" s="13"/>
      <c r="H52" s="209" t="s">
        <v>97</v>
      </c>
      <c r="I52" s="210"/>
      <c r="K52" s="77"/>
      <c r="Q52" s="213"/>
    </row>
    <row r="53" spans="1:17" x14ac:dyDescent="0.25">
      <c r="A53" s="64" t="s">
        <v>94</v>
      </c>
      <c r="B53" s="12"/>
      <c r="C53" s="12"/>
      <c r="D53" s="12" t="s">
        <v>98</v>
      </c>
      <c r="E53" s="12"/>
      <c r="F53" s="208">
        <f>=$F$51*0.265</f>
        <v>0</v>
      </c>
      <c r="G53" s="13"/>
      <c r="H53" s="214" t="s">
        <v>99</v>
      </c>
      <c r="I53" s="215"/>
      <c r="J53" s="114" t="s">
        <v>26</v>
      </c>
      <c r="K53" s="115"/>
      <c r="Q53" s="213"/>
    </row>
    <row r="54" spans="1:17" x14ac:dyDescent="0.25">
      <c r="A54" s="64" t="s">
        <v>94</v>
      </c>
      <c r="B54" s="12"/>
      <c r="C54" s="12"/>
      <c r="D54" s="12" t="s">
        <v>100</v>
      </c>
      <c r="E54" s="12"/>
      <c r="F54" s="208">
        <f>=$F$51*0.12</f>
        <v>0</v>
      </c>
      <c r="G54" s="13"/>
      <c r="H54" s="216" t="s">
        <v>101</v>
      </c>
      <c r="I54" s="217" t="s">
        <v>102</v>
      </c>
      <c r="J54" s="218" t="s">
        <v>103</v>
      </c>
      <c r="K54" s="219" t="s">
        <v>102</v>
      </c>
      <c r="Q54" s="213"/>
    </row>
    <row r="55" spans="1:17" x14ac:dyDescent="0.25">
      <c r="A55" s="64" t="s">
        <v>94</v>
      </c>
      <c r="B55" s="12"/>
      <c r="C55" s="12"/>
      <c r="D55" s="12" t="s">
        <v>104</v>
      </c>
      <c r="E55" s="12"/>
      <c r="F55" s="208">
        <f>=$F$51*0.16</f>
        <v>0</v>
      </c>
      <c r="G55" s="13"/>
      <c r="H55" s="216"/>
      <c r="I55" s="217" t="s">
        <v>54</v>
      </c>
      <c r="J55" s="218"/>
      <c r="K55" s="219" t="s">
        <v>105</v>
      </c>
      <c r="Q55" s="213"/>
    </row>
    <row r="56" spans="1:17" x14ac:dyDescent="0.25">
      <c r="A56" s="64" t="s">
        <v>94</v>
      </c>
      <c r="B56" s="12"/>
      <c r="C56" s="12"/>
      <c r="D56" s="12" t="s">
        <v>106</v>
      </c>
      <c r="E56" s="12"/>
      <c r="F56" s="208">
        <f>=$F$51*0.07</f>
        <v>0</v>
      </c>
      <c r="G56" s="13"/>
      <c r="H56" s="220" t="s">
        <v>107</v>
      </c>
      <c r="I56" s="221"/>
      <c r="J56" s="221"/>
      <c r="K56" s="219" t="s">
        <v>102</v>
      </c>
      <c r="Q56" s="213"/>
    </row>
    <row r="57" spans="1:17" x14ac:dyDescent="0.25">
      <c r="A57" s="64" t="s">
        <v>26</v>
      </c>
      <c r="B57" s="12"/>
      <c r="C57" s="12"/>
      <c r="D57" s="12" t="s">
        <v>26</v>
      </c>
      <c r="E57" s="12"/>
      <c r="F57" s="208" t="s">
        <v>26</v>
      </c>
      <c r="G57" s="13"/>
      <c r="H57" s="220"/>
      <c r="I57" s="221"/>
      <c r="J57" s="221"/>
      <c r="K57" s="219" t="s">
        <v>105</v>
      </c>
      <c r="Q57" s="213"/>
    </row>
    <row r="58" spans="1:17" x14ac:dyDescent="0.25">
      <c r="A58" s="64" t="s">
        <v>26</v>
      </c>
      <c r="B58" s="12"/>
      <c r="C58" s="12"/>
      <c r="D58" s="12" t="s">
        <v>26</v>
      </c>
      <c r="E58" s="12"/>
      <c r="F58" s="208" t="s">
        <v>26</v>
      </c>
      <c r="G58" s="13"/>
      <c r="H58" s="222" t="s">
        <v>108</v>
      </c>
      <c r="I58" s="223" t="s">
        <v>109</v>
      </c>
      <c r="J58" s="217"/>
      <c r="K58" s="219"/>
      <c r="Q58" s="213"/>
    </row>
    <row r="59" spans="1:17" x14ac:dyDescent="0.25">
      <c r="A59" s="64" t="s">
        <v>26</v>
      </c>
      <c r="B59" s="12"/>
      <c r="C59" s="12"/>
      <c r="D59" s="12" t="s">
        <v>26</v>
      </c>
      <c r="E59" s="12"/>
      <c r="F59" s="208" t="s">
        <v>26</v>
      </c>
      <c r="G59" s="13"/>
      <c r="H59" s="222"/>
      <c r="I59" s="223" t="s">
        <v>110</v>
      </c>
      <c r="J59" s="217"/>
      <c r="K59" s="219"/>
      <c r="Q59" s="213"/>
    </row>
    <row r="60" ht="15.75" customHeight="1" spans="1:17" x14ac:dyDescent="0.25">
      <c r="A60" s="64" t="s">
        <v>26</v>
      </c>
      <c r="B60" s="12"/>
      <c r="C60" s="12"/>
      <c r="D60" s="12" t="s">
        <v>26</v>
      </c>
      <c r="E60" s="12"/>
      <c r="F60" s="208" t="s">
        <v>26</v>
      </c>
      <c r="G60" s="13"/>
      <c r="H60" s="224" t="s">
        <v>111</v>
      </c>
      <c r="I60" s="225"/>
      <c r="J60" s="225"/>
      <c r="K60" s="226">
        <v>45899</v>
      </c>
      <c r="Q60" s="213"/>
    </row>
    <row r="61" ht="12.75" customHeight="1" spans="1:17" x14ac:dyDescent="0.25">
      <c r="A61" s="121" t="s">
        <v>26</v>
      </c>
      <c r="B61" s="30"/>
      <c r="C61" s="30"/>
      <c r="D61" s="12" t="s">
        <v>26</v>
      </c>
      <c r="E61" s="12"/>
      <c r="F61" s="208" t="s">
        <v>26</v>
      </c>
      <c r="G61" s="13"/>
      <c r="H61" s="227" t="s">
        <v>112</v>
      </c>
      <c r="I61" s="228"/>
      <c r="J61" s="228"/>
      <c r="K61" s="229"/>
      <c r="Q61" s="213"/>
    </row>
    <row r="62" ht="12.75" customHeight="1" spans="1:17" x14ac:dyDescent="0.25">
      <c r="A62" s="121" t="s">
        <v>26</v>
      </c>
      <c r="B62" s="30"/>
      <c r="C62" s="30"/>
      <c r="D62" s="12" t="s">
        <v>26</v>
      </c>
      <c r="E62" s="12"/>
      <c r="F62" s="208" t="s">
        <v>26</v>
      </c>
      <c r="G62" s="13"/>
      <c r="H62" s="230" t="s">
        <v>113</v>
      </c>
      <c r="I62" s="231" t="s">
        <v>114</v>
      </c>
      <c r="J62" s="232"/>
      <c r="K62" s="233"/>
      <c r="Q62" s="213"/>
    </row>
    <row r="63" ht="12.75" customHeight="1" spans="1:17" x14ac:dyDescent="0.25">
      <c r="A63" s="64" t="s">
        <v>26</v>
      </c>
      <c r="B63" s="12"/>
      <c r="C63" s="12"/>
      <c r="D63" s="12" t="s">
        <v>26</v>
      </c>
      <c r="E63" s="12"/>
      <c r="F63" s="208" t="s">
        <v>26</v>
      </c>
      <c r="G63" s="13"/>
      <c r="H63" s="234">
        <v>46174</v>
      </c>
      <c r="I63" s="235">
        <v>46234</v>
      </c>
      <c r="J63" s="232">
        <v>0</v>
      </c>
      <c r="K63" s="233"/>
      <c r="Q63" s="213"/>
    </row>
    <row r="64" ht="12.75" customHeight="1" spans="1:17" x14ac:dyDescent="0.25">
      <c r="A64" s="64" t="s">
        <v>26</v>
      </c>
      <c r="B64" s="12"/>
      <c r="C64" s="12"/>
      <c r="D64" s="12"/>
      <c r="E64" s="12"/>
      <c r="F64" s="12"/>
      <c r="G64" s="13"/>
      <c r="H64" s="234">
        <v>46235</v>
      </c>
      <c r="I64" s="235">
        <v>46691</v>
      </c>
      <c r="J64" s="236">
        <v>20</v>
      </c>
      <c r="K64" s="237"/>
      <c r="Q64" s="213"/>
    </row>
    <row r="65" ht="15.75" customHeight="1" spans="1:17" x14ac:dyDescent="0.25">
      <c r="A65" s="64"/>
      <c r="B65" s="12"/>
      <c r="C65" s="12"/>
      <c r="D65" s="12"/>
      <c r="E65" s="12"/>
      <c r="F65" s="12"/>
      <c r="G65" s="13"/>
      <c r="H65" s="234">
        <v>46692</v>
      </c>
      <c r="I65" s="235">
        <v>48152</v>
      </c>
      <c r="J65" s="238">
        <v>21</v>
      </c>
      <c r="K65" s="239"/>
      <c r="Q65" s="213"/>
    </row>
    <row r="66" ht="15.75" customHeight="1" spans="1:17" x14ac:dyDescent="0.25">
      <c r="A66" s="64"/>
      <c r="B66" s="12"/>
      <c r="C66" s="12"/>
      <c r="D66" s="12"/>
      <c r="E66" s="12"/>
      <c r="F66" s="12"/>
      <c r="G66" s="13"/>
      <c r="H66" s="234">
        <v>48153</v>
      </c>
      <c r="I66" s="235">
        <v>49248</v>
      </c>
      <c r="J66" s="238">
        <v>22</v>
      </c>
      <c r="K66" s="239"/>
      <c r="Q66" s="213"/>
    </row>
    <row r="67" ht="15" customHeight="1" spans="1:17" x14ac:dyDescent="0.25">
      <c r="A67" s="64"/>
      <c r="B67" s="12"/>
      <c r="C67" s="12"/>
      <c r="D67" s="12"/>
      <c r="E67" s="12"/>
      <c r="F67" s="12"/>
      <c r="G67" s="13"/>
      <c r="H67" s="234"/>
      <c r="I67" s="235"/>
      <c r="J67" s="236"/>
      <c r="K67" s="237"/>
      <c r="Q67" s="213"/>
    </row>
    <row r="68" ht="12.75" customHeight="1" spans="1:11" x14ac:dyDescent="0.25">
      <c r="A68" s="64"/>
      <c r="B68" s="12"/>
      <c r="C68" s="12"/>
      <c r="D68" s="12"/>
      <c r="E68" s="12"/>
      <c r="F68" s="12"/>
      <c r="G68" s="77"/>
      <c r="H68" s="240"/>
      <c r="I68" s="241"/>
      <c r="J68" s="242"/>
      <c r="K68" s="243"/>
    </row>
    <row r="69" spans="1:11" x14ac:dyDescent="0.25">
      <c r="A69" s="64" t="s">
        <v>26</v>
      </c>
      <c r="B69" s="12"/>
      <c r="C69" s="12"/>
      <c r="D69" s="12" t="s">
        <v>26</v>
      </c>
      <c r="E69" s="12"/>
      <c r="F69" s="244" t="s">
        <v>26</v>
      </c>
      <c r="G69" s="77"/>
      <c r="H69" s="7"/>
      <c r="I69" s="8"/>
      <c r="J69" s="8"/>
      <c r="K69" s="26"/>
    </row>
    <row r="70" ht="12.75" customHeight="1" spans="1:11" x14ac:dyDescent="0.25">
      <c r="A70" s="245" t="s">
        <v>115</v>
      </c>
      <c r="B70" s="246"/>
      <c r="C70" s="246"/>
      <c r="D70" s="246"/>
      <c r="E70" s="246"/>
      <c r="F70" s="247">
        <f>SUM(F51:F69)</f>
        <v>25068.125000000004</v>
      </c>
      <c r="G70" s="83"/>
      <c r="H70" s="64"/>
      <c r="I70" s="12"/>
      <c r="J70" s="12"/>
      <c r="K70" s="13"/>
    </row>
    <row r="71" ht="12.75" customHeight="1" spans="1:11" x14ac:dyDescent="0.25">
      <c r="A71" s="207"/>
      <c r="B71" s="207"/>
      <c r="C71" s="207"/>
      <c r="D71" s="207"/>
      <c r="E71" s="207"/>
      <c r="H71" s="65"/>
      <c r="I71" s="23"/>
      <c r="J71" s="23"/>
      <c r="K71" s="24"/>
    </row>
    <row r="72" ht="12.75" customHeight="1" spans="8:11" x14ac:dyDescent="0.25">
      <c r="H72" s="248" t="s">
        <v>116</v>
      </c>
      <c r="I72" s="249" t="s">
        <v>96</v>
      </c>
      <c r="J72" s="249"/>
      <c r="K72" s="250"/>
    </row>
  </sheetData>
  <mergeCells count="182">
    <mergeCell ref="A1:G1"/>
    <mergeCell ref="H1:K1"/>
    <mergeCell ref="A2:E2"/>
    <mergeCell ref="F2:G2"/>
    <mergeCell ref="H2:K2"/>
    <mergeCell ref="B3:C4"/>
    <mergeCell ref="D3:E4"/>
    <mergeCell ref="F3:G5"/>
    <mergeCell ref="H3:K3"/>
    <mergeCell ref="A3:A4"/>
    <mergeCell ref="H4:K4"/>
    <mergeCell ref="A5:B5"/>
    <mergeCell ref="C5:E5"/>
    <mergeCell ref="H5:K5"/>
    <mergeCell ref="H6:I6"/>
    <mergeCell ref="J6:K6"/>
    <mergeCell ref="A7:B8"/>
    <mergeCell ref="H7:I7"/>
    <mergeCell ref="J7:K7"/>
    <mergeCell ref="H8:I8"/>
    <mergeCell ref="J8:K8"/>
    <mergeCell ref="A9:B10"/>
    <mergeCell ref="C9:D9"/>
    <mergeCell ref="E9:F10"/>
    <mergeCell ref="G9:K10"/>
    <mergeCell ref="C10:D10"/>
    <mergeCell ref="D11:F11"/>
    <mergeCell ref="I11:K11"/>
    <mergeCell ref="D12:F12"/>
    <mergeCell ref="I12:K12"/>
    <mergeCell ref="B13:C13"/>
    <mergeCell ref="E13:F13"/>
    <mergeCell ref="J13:K13"/>
    <mergeCell ref="A14:F14"/>
    <mergeCell ref="G14:K14"/>
    <mergeCell ref="A15:F15"/>
    <mergeCell ref="G15:K15"/>
    <mergeCell ref="A16:C16"/>
    <mergeCell ref="D16:E16"/>
    <mergeCell ref="G16:H16"/>
    <mergeCell ref="I16:J16"/>
    <mergeCell ref="A17:C18"/>
    <mergeCell ref="D17:E18"/>
    <mergeCell ref="G17:H17"/>
    <mergeCell ref="I17:J17"/>
    <mergeCell ref="F17:F18"/>
    <mergeCell ref="A19:F19"/>
    <mergeCell ref="I19:J19"/>
    <mergeCell ref="A20:F20"/>
    <mergeCell ref="G19:G20"/>
    <mergeCell ref="I20:J20"/>
    <mergeCell ref="A21:C21"/>
    <mergeCell ref="D21:E21"/>
    <mergeCell ref="G21:K21"/>
    <mergeCell ref="A22:C22"/>
    <mergeCell ref="D22:E22"/>
    <mergeCell ref="G22:K22"/>
    <mergeCell ref="A23:B23"/>
    <mergeCell ref="I23:K23"/>
    <mergeCell ref="D24:F24"/>
    <mergeCell ref="I24:K24"/>
    <mergeCell ref="A25:C25"/>
    <mergeCell ref="D25:F25"/>
    <mergeCell ref="I25:K25"/>
    <mergeCell ref="A26:F26"/>
    <mergeCell ref="G26:H26"/>
    <mergeCell ref="I26:K26"/>
    <mergeCell ref="A27:F27"/>
    <mergeCell ref="I27:K27"/>
    <mergeCell ref="G28:K28"/>
    <mergeCell ref="A29:C29"/>
    <mergeCell ref="D29:E29"/>
    <mergeCell ref="G29:H29"/>
    <mergeCell ref="I29:K29"/>
    <mergeCell ref="A30:C30"/>
    <mergeCell ref="D30:E30"/>
    <mergeCell ref="G30:H30"/>
    <mergeCell ref="I30:K30"/>
    <mergeCell ref="A31:D31"/>
    <mergeCell ref="E31:F31"/>
    <mergeCell ref="G31:K32"/>
    <mergeCell ref="A32:F32"/>
    <mergeCell ref="A33:F34"/>
    <mergeCell ref="G33:H33"/>
    <mergeCell ref="I33:K33"/>
    <mergeCell ref="G34:H34"/>
    <mergeCell ref="I34:K34"/>
    <mergeCell ref="A35:F35"/>
    <mergeCell ref="G35:H35"/>
    <mergeCell ref="I35:K35"/>
    <mergeCell ref="A36:F36"/>
    <mergeCell ref="G36:H37"/>
    <mergeCell ref="I36:K36"/>
    <mergeCell ref="A37:C37"/>
    <mergeCell ref="D37:E37"/>
    <mergeCell ref="I37:K37"/>
    <mergeCell ref="A38:C38"/>
    <mergeCell ref="D38:E38"/>
    <mergeCell ref="G38:H38"/>
    <mergeCell ref="I38:K38"/>
    <mergeCell ref="A39:K39"/>
    <mergeCell ref="A40:K40"/>
    <mergeCell ref="A41:B41"/>
    <mergeCell ref="D41:E41"/>
    <mergeCell ref="J41:K41"/>
    <mergeCell ref="A42:B42"/>
    <mergeCell ref="D42:E42"/>
    <mergeCell ref="J42:K42"/>
    <mergeCell ref="A43:B43"/>
    <mergeCell ref="D43:E43"/>
    <mergeCell ref="J43:K43"/>
    <mergeCell ref="A44:B44"/>
    <mergeCell ref="D44:E44"/>
    <mergeCell ref="J44:K44"/>
    <mergeCell ref="A45:B45"/>
    <mergeCell ref="D45:E45"/>
    <mergeCell ref="J45:K45"/>
    <mergeCell ref="A46:B46"/>
    <mergeCell ref="D46:E46"/>
    <mergeCell ref="J46:K46"/>
    <mergeCell ref="A47:B47"/>
    <mergeCell ref="D47:E47"/>
    <mergeCell ref="J47:K47"/>
    <mergeCell ref="A48:D48"/>
    <mergeCell ref="E48:F48"/>
    <mergeCell ref="H48:I48"/>
    <mergeCell ref="J48:K48"/>
    <mergeCell ref="A49:G49"/>
    <mergeCell ref="H49:I49"/>
    <mergeCell ref="A50:C50"/>
    <mergeCell ref="D50:E50"/>
    <mergeCell ref="H50:K50"/>
    <mergeCell ref="A51:C51"/>
    <mergeCell ref="D51:E51"/>
    <mergeCell ref="H51:I51"/>
    <mergeCell ref="J51:K51"/>
    <mergeCell ref="A52:C52"/>
    <mergeCell ref="D52:E52"/>
    <mergeCell ref="H52:I52"/>
    <mergeCell ref="A53:C53"/>
    <mergeCell ref="D53:E53"/>
    <mergeCell ref="H53:I53"/>
    <mergeCell ref="J53:K53"/>
    <mergeCell ref="A54:C54"/>
    <mergeCell ref="D54:E54"/>
    <mergeCell ref="A55:C55"/>
    <mergeCell ref="D55:E55"/>
    <mergeCell ref="H54:H55"/>
    <mergeCell ref="J54:J55"/>
    <mergeCell ref="A56:C56"/>
    <mergeCell ref="D56:E56"/>
    <mergeCell ref="H56:J57"/>
    <mergeCell ref="A57:C57"/>
    <mergeCell ref="D57:E57"/>
    <mergeCell ref="A58:C58"/>
    <mergeCell ref="D58:E58"/>
    <mergeCell ref="A59:C59"/>
    <mergeCell ref="D59:E59"/>
    <mergeCell ref="H58:H59"/>
    <mergeCell ref="A60:C60"/>
    <mergeCell ref="D60:E60"/>
    <mergeCell ref="H60:J60"/>
    <mergeCell ref="A61:C61"/>
    <mergeCell ref="D61:E61"/>
    <mergeCell ref="H61:K61"/>
    <mergeCell ref="A62:C62"/>
    <mergeCell ref="D62:E62"/>
    <mergeCell ref="J62:K62"/>
    <mergeCell ref="A63:C63"/>
    <mergeCell ref="D63:E63"/>
    <mergeCell ref="J63:K63"/>
    <mergeCell ref="A64:F68"/>
    <mergeCell ref="J64:K64"/>
    <mergeCell ref="J65:K65"/>
    <mergeCell ref="J66:K66"/>
    <mergeCell ref="J67:K67"/>
    <mergeCell ref="J68:K68"/>
    <mergeCell ref="A69:C69"/>
    <mergeCell ref="D69:E69"/>
    <mergeCell ref="H69:K71"/>
    <mergeCell ref="A70:E70"/>
    <mergeCell ref="A71:E71"/>
  </mergeCells>
  <printOptions gridLines="1" horizontalCentered="1" verticalCentered="1"/>
  <pageMargins left="0.2362204724409449" right="0.2362204724409449" top="0.1968503937007874" bottom="0.07874015748031496" header="0.31496062992125984" footer="0.31496062992125984"/>
  <pageSetup paperSize="5" orientation="portrait" horizontalDpi="4294967295" verticalDpi="4294967295" scale="9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"/>
  <sheetViews>
    <sheetView workbookViewId="0" zoomScale="100" zoomScaleNormal="100">
      <selection activeCell="K13" sqref="K13"/>
    </sheetView>
  </sheetViews>
  <sheetFormatPr defaultRowHeight="15" outlineLevelRow="0" outlineLevelCol="0" x14ac:dyDescent="0.25"/>
  <cols>
    <col min="2" max="2" width="80.28515625" customWidth="1"/>
  </cols>
  <sheetData>
    <row r="1" ht="39.6" customHeight="1" spans="1:2" x14ac:dyDescent="0.25">
      <c r="A1" s="251" t="s">
        <v>117</v>
      </c>
      <c r="B1" s="252"/>
    </row>
    <row r="2" ht="17.45" customHeight="1" spans="1:2" x14ac:dyDescent="0.25">
      <c r="A2" s="253"/>
      <c r="B2" s="254" t="s">
        <v>118</v>
      </c>
    </row>
    <row r="3" ht="19.15" customHeight="1" spans="1:2" x14ac:dyDescent="0.25">
      <c r="A3" s="253"/>
      <c r="B3" s="254" t="s">
        <v>119</v>
      </c>
    </row>
    <row r="4" ht="16.9" customHeight="1" spans="1:2" x14ac:dyDescent="0.25">
      <c r="A4" s="253"/>
      <c r="B4" s="254" t="s">
        <v>120</v>
      </c>
    </row>
    <row r="5" ht="20.45" customHeight="1" spans="1:2" x14ac:dyDescent="0.25">
      <c r="A5" s="253"/>
      <c r="B5" s="254" t="s">
        <v>121</v>
      </c>
    </row>
    <row r="6" ht="18.6" customHeight="1" spans="1:2" x14ac:dyDescent="0.25">
      <c r="A6" s="253"/>
      <c r="B6" s="254" t="s">
        <v>122</v>
      </c>
    </row>
    <row r="7" ht="15.6" customHeight="1" spans="1:2" x14ac:dyDescent="0.25">
      <c r="A7" s="253"/>
      <c r="B7" s="254" t="s">
        <v>123</v>
      </c>
    </row>
    <row r="8" ht="13.9" customHeight="1" spans="1:2" x14ac:dyDescent="0.25">
      <c r="A8" s="253"/>
      <c r="B8" s="254" t="s">
        <v>124</v>
      </c>
    </row>
    <row r="9" ht="12.6" customHeight="1" spans="1:2" x14ac:dyDescent="0.25">
      <c r="A9" s="253"/>
      <c r="B9" s="254" t="s">
        <v>125</v>
      </c>
    </row>
    <row r="10" ht="15" customHeight="1" spans="1:2" x14ac:dyDescent="0.25">
      <c r="A10" s="255"/>
      <c r="B10" s="256" t="s">
        <v>126</v>
      </c>
    </row>
    <row r="11" ht="20.45" customHeight="1" spans="1:2" x14ac:dyDescent="0.25">
      <c r="A11" s="253"/>
      <c r="B11" s="254" t="s">
        <v>127</v>
      </c>
    </row>
    <row r="12" ht="18" customHeight="1" spans="1:2" x14ac:dyDescent="0.25">
      <c r="A12" s="253"/>
      <c r="B12" s="254" t="s">
        <v>128</v>
      </c>
    </row>
    <row r="13" ht="20.45" customHeight="1" spans="1:2" x14ac:dyDescent="0.25">
      <c r="A13" s="253"/>
      <c r="B13" s="254" t="s">
        <v>129</v>
      </c>
    </row>
    <row r="14" ht="18" customHeight="1" spans="1:2" x14ac:dyDescent="0.25">
      <c r="A14" s="253"/>
      <c r="B14" s="254" t="s">
        <v>130</v>
      </c>
    </row>
    <row r="15" ht="16.9" customHeight="1" spans="1:2" x14ac:dyDescent="0.25">
      <c r="A15" s="253"/>
      <c r="B15" s="254" t="s">
        <v>131</v>
      </c>
    </row>
    <row r="16" ht="16.15" customHeight="1" spans="1:2" x14ac:dyDescent="0.25">
      <c r="A16" s="253"/>
      <c r="B16" s="254" t="s">
        <v>68</v>
      </c>
    </row>
    <row r="17" ht="15.75" customHeight="1" spans="1:2" x14ac:dyDescent="0.25">
      <c r="A17" s="253"/>
      <c r="B17" s="254" t="s">
        <v>132</v>
      </c>
    </row>
    <row r="18" ht="16.15" customHeight="1" spans="1:2" x14ac:dyDescent="0.25">
      <c r="A18" s="253"/>
      <c r="B18" s="254" t="s">
        <v>133</v>
      </c>
    </row>
    <row r="19" ht="15.75" customHeight="1" spans="1:2" x14ac:dyDescent="0.25">
      <c r="A19" s="253"/>
      <c r="B19" s="254" t="s">
        <v>134</v>
      </c>
    </row>
    <row r="20" ht="14.45" customHeight="1" spans="1:2" x14ac:dyDescent="0.25">
      <c r="A20" s="253"/>
      <c r="B20" s="254" t="s">
        <v>135</v>
      </c>
    </row>
    <row r="21" ht="16.9" customHeight="1" spans="1:2" x14ac:dyDescent="0.25">
      <c r="A21" s="253"/>
      <c r="B21" s="254" t="s">
        <v>136</v>
      </c>
    </row>
    <row r="22" ht="16.9" customHeight="1" spans="1:2" x14ac:dyDescent="0.25">
      <c r="A22" s="253"/>
      <c r="B22" s="254" t="s">
        <v>137</v>
      </c>
    </row>
    <row r="23" ht="15.75" customHeight="1" spans="1:2" x14ac:dyDescent="0.25">
      <c r="A23" s="253"/>
      <c r="B23" s="254" t="s">
        <v>138</v>
      </c>
    </row>
    <row r="24" ht="18.6" customHeight="1" spans="1:2" x14ac:dyDescent="0.25">
      <c r="A24" s="253"/>
      <c r="B24" s="254" t="s">
        <v>139</v>
      </c>
    </row>
    <row r="25" ht="19.15" customHeight="1" spans="1:2" x14ac:dyDescent="0.25">
      <c r="A25" s="253"/>
      <c r="B25" s="254" t="s">
        <v>140</v>
      </c>
    </row>
    <row r="26" ht="24.6" customHeight="1" spans="1:2" x14ac:dyDescent="0.25">
      <c r="A26" s="253"/>
      <c r="B26" s="254" t="s">
        <v>141</v>
      </c>
    </row>
    <row r="27" ht="15.75" customHeight="1" spans="1:2" x14ac:dyDescent="0.25">
      <c r="A27" s="253"/>
      <c r="B27" s="254" t="s">
        <v>142</v>
      </c>
    </row>
    <row r="28" ht="25.15" customHeight="1" spans="1:2" x14ac:dyDescent="0.25">
      <c r="A28" s="253"/>
      <c r="B28" s="254" t="s">
        <v>143</v>
      </c>
    </row>
    <row r="29" ht="15.75" customHeight="1" spans="1:2" x14ac:dyDescent="0.25">
      <c r="A29" s="253"/>
      <c r="B29" s="254" t="s">
        <v>144</v>
      </c>
    </row>
    <row r="30" ht="19.15" customHeight="1" spans="1:2" x14ac:dyDescent="0.25">
      <c r="A30" s="253"/>
      <c r="B30" s="254" t="s">
        <v>145</v>
      </c>
    </row>
    <row r="31" ht="16.9" customHeight="1" spans="1:2" x14ac:dyDescent="0.25">
      <c r="A31" s="253"/>
      <c r="B31" s="254" t="s">
        <v>146</v>
      </c>
    </row>
    <row r="32" ht="16.15" customHeight="1" spans="1:2" x14ac:dyDescent="0.25">
      <c r="A32" s="253"/>
      <c r="B32" s="254" t="s">
        <v>147</v>
      </c>
    </row>
    <row r="33" ht="21" customHeight="1" spans="1:2" x14ac:dyDescent="0.25">
      <c r="A33" s="253"/>
      <c r="B33" s="254" t="s">
        <v>148</v>
      </c>
    </row>
    <row r="34" ht="18.6" customHeight="1" spans="1:2" x14ac:dyDescent="0.25">
      <c r="A34" s="253"/>
      <c r="B34" s="254" t="s">
        <v>149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5" outlineLevelRow="0" outlineLevelCol="0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LEASE TR</vt:lpstr>
      <vt:lpstr>Occupier Industry</vt:lpstr>
      <vt:lpstr>Sheet3</vt:lpstr>
    </vt:vector>
  </TitlesOfParts>
  <Company>cbre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Tracy Hawes</dc:creator>
  <cp:lastModifiedBy>Kelley, Ben @ Saskatoon</cp:lastModifiedBy>
  <cp:lastPrinted>2024-02-08T21:10:36Z</cp:lastPrinted>
  <dcterms:created xsi:type="dcterms:W3CDTF">2010-06-29T21:47:10Z</dcterms:created>
  <dcterms:modified xsi:type="dcterms:W3CDTF">2025-07-29T23:39:50Z</dcterms:modified>
</cp:coreProperties>
</file>