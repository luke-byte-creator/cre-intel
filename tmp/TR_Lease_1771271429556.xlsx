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<sst xmlns="http://schemas.openxmlformats.org/spreadsheetml/2006/main" count="244" uniqueCount="150">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</sst>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954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77</v>
      </c>
      <c r="D42" s="174">
        <v>20</v>
      </c>
      <c r="E42" s="174"/>
      <c r="F42" s="173" t="s">
        <v>77</v>
      </c>
      <c r="G42" s="175">
        <v>1</v>
      </c>
      <c r="H42" s="176">
        <f t="shared" ref="H42:H47" si="0">A42*D42*G42</f>
        <v>353592.5</v>
      </c>
      <c r="I42" s="177">
        <v>0.05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77</v>
      </c>
      <c r="D43" s="174">
        <v>21</v>
      </c>
      <c r="E43" s="174"/>
      <c r="F43" s="173" t="s">
        <v>77</v>
      </c>
      <c r="G43" s="175">
        <v>4</v>
      </c>
      <c r="H43" s="176">
        <f t="shared" si="0"/>
        <v>369425</v>
      </c>
      <c r="I43" s="177">
        <v>0.02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22</v>
      </c>
      <c r="E44" s="174"/>
      <c r="F44" s="173"/>
      <c r="G44" s="175">
        <v>3</v>
      </c>
      <c r="H44" s="176">
        <f>A44*D44*G44</f>
      </c>
      <c r="I44" s="177">
        <v>0.02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77</v>
      </c>
      <c r="D45" s="174">
        <v>0</v>
      </c>
      <c r="E45" s="174"/>
      <c r="F45" s="173" t="s">
        <v>77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77</v>
      </c>
      <c r="D46" s="174">
        <v>0</v>
      </c>
      <c r="E46" s="174"/>
      <c r="F46" s="173" t="s">
        <v>77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77</v>
      </c>
      <c r="D47" s="174">
        <v>0</v>
      </c>
      <c r="E47" s="174"/>
      <c r="F47" s="173" t="s">
        <v>77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84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J48*0.5</f>
        <v>0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$F$51*0.385</f>
        <v>0</v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$F$51*0.265</f>
        <v>0</v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$F$51*0.12</f>
        <v>0</v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$F$51*0.16</f>
        <v>0</v>
      </c>
      <c r="G55" s="13"/>
      <c r="H55" s="216"/>
      <c r="I55" s="217" t="s">
        <v>54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$F$51*0.07</f>
        <v>0</v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