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<sst xmlns="http://schemas.openxmlformats.org/spreadsheetml/2006/main" count="244" uniqueCount="150">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</sst>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954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77</v>
      </c>
      <c r="D42" s="174">
        <v>1.5</v>
      </c>
      <c r="E42" s="174"/>
      <c r="F42" s="173" t="s">
        <v>77</v>
      </c>
      <c r="G42" s="175">
        <v>5</v>
      </c>
      <c r="H42" s="176">
        <f t="shared" ref="H42:H47" si="0">A42*D42*G42</f>
        <v>353592.5</v>
      </c>
      <c r="I42" s="177">
        <v>1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77</v>
      </c>
      <c r="D43" s="174">
        <v>0.5</v>
      </c>
      <c r="E43" s="174"/>
      <c r="F43" s="173" t="s">
        <v>77</v>
      </c>
      <c r="G43" s="175">
        <v>5</v>
      </c>
      <c r="H43" s="176">
        <f t="shared" si="0"/>
        <v>369425</v>
      </c>
      <c r="I43" s="177">
        <v>1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77</v>
      </c>
      <c r="D45" s="174">
        <v>0</v>
      </c>
      <c r="E45" s="174"/>
      <c r="F45" s="173" t="s">
        <v>77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77</v>
      </c>
      <c r="D46" s="174">
        <v>0</v>
      </c>
      <c r="E46" s="174"/>
      <c r="F46" s="173" t="s">
        <v>77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77</v>
      </c>
      <c r="D47" s="174">
        <v>0</v>
      </c>
      <c r="E47" s="174"/>
      <c r="F47" s="173" t="s">
        <v>77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83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84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85</v>
      </c>
      <c r="B49" s="197"/>
      <c r="C49" s="197"/>
      <c r="D49" s="197"/>
      <c r="E49" s="197"/>
      <c r="F49" s="197"/>
      <c r="G49" s="198"/>
      <c r="H49" s="199" t="s">
        <v>86</v>
      </c>
      <c r="I49" s="200"/>
      <c r="J49" s="201" t="s">
        <v>87</v>
      </c>
      <c r="K49" s="202" t="s">
        <v>88</v>
      </c>
    </row>
    <row r="50" spans="1:13" x14ac:dyDescent="0.25">
      <c r="A50" s="7" t="s">
        <v>89</v>
      </c>
      <c r="B50" s="8"/>
      <c r="C50" s="8"/>
      <c r="D50" s="12" t="s">
        <v>90</v>
      </c>
      <c r="E50" s="12"/>
      <c r="F50" s="12" t="s">
        <v>91</v>
      </c>
      <c r="G50" s="13" t="s">
        <v>92</v>
      </c>
      <c r="H50" s="203" t="s">
        <v>93</v>
      </c>
      <c r="I50" s="204"/>
      <c r="J50" s="204"/>
      <c r="K50" s="205"/>
      <c r="M50" s="182"/>
    </row>
    <row r="51" spans="1:17" x14ac:dyDescent="0.25">
      <c r="A51" s="206" t="s">
        <v>94</v>
      </c>
      <c r="B51" s="207"/>
      <c r="C51" s="207"/>
      <c r="D51" s="12"/>
      <c r="E51" s="12"/>
      <c r="F51" s="208">
        <f>J48*0.5</f>
        <v>0</v>
      </c>
      <c r="G51" s="28"/>
      <c r="H51" s="209" t="s">
        <v>95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94</v>
      </c>
      <c r="B52" s="12"/>
      <c r="C52" s="12"/>
      <c r="D52" s="12" t="s">
        <v>96</v>
      </c>
      <c r="E52" s="12"/>
      <c r="F52" s="208">
        <f>$F$51*0.385</f>
        <v>0</v>
      </c>
      <c r="G52" s="13"/>
      <c r="H52" s="209" t="s">
        <v>97</v>
      </c>
      <c r="I52" s="210"/>
      <c r="K52" s="77"/>
      <c r="Q52" s="213"/>
    </row>
    <row r="53" spans="1:17" x14ac:dyDescent="0.25">
      <c r="A53" s="64" t="s">
        <v>94</v>
      </c>
      <c r="B53" s="12"/>
      <c r="C53" s="12"/>
      <c r="D53" s="12" t="s">
        <v>98</v>
      </c>
      <c r="E53" s="12"/>
      <c r="F53" s="208">
        <f>$F$51*0.265</f>
        <v>0</v>
      </c>
      <c r="G53" s="13"/>
      <c r="H53" s="214" t="s">
        <v>99</v>
      </c>
      <c r="I53" s="215"/>
      <c r="J53" s="114" t="s">
        <v>26</v>
      </c>
      <c r="K53" s="115"/>
      <c r="Q53" s="213"/>
    </row>
    <row r="54" spans="1:17" x14ac:dyDescent="0.25">
      <c r="A54" s="64" t="s">
        <v>94</v>
      </c>
      <c r="B54" s="12"/>
      <c r="C54" s="12"/>
      <c r="D54" s="12" t="s">
        <v>100</v>
      </c>
      <c r="E54" s="12"/>
      <c r="F54" s="208">
        <f>$F$51*0.12</f>
        <v>0</v>
      </c>
      <c r="G54" s="13"/>
      <c r="H54" s="216" t="s">
        <v>101</v>
      </c>
      <c r="I54" s="217" t="s">
        <v>102</v>
      </c>
      <c r="J54" s="218" t="s">
        <v>103</v>
      </c>
      <c r="K54" s="219" t="s">
        <v>102</v>
      </c>
      <c r="Q54" s="213"/>
    </row>
    <row r="55" spans="1:17" x14ac:dyDescent="0.25">
      <c r="A55" s="64" t="s">
        <v>94</v>
      </c>
      <c r="B55" s="12"/>
      <c r="C55" s="12"/>
      <c r="D55" s="12" t="s">
        <v>104</v>
      </c>
      <c r="E55" s="12"/>
      <c r="F55" s="208">
        <f>$F$51*0.16</f>
        <v>0</v>
      </c>
      <c r="G55" s="13"/>
      <c r="H55" s="216"/>
      <c r="I55" s="217" t="s">
        <v>105</v>
      </c>
      <c r="J55" s="218"/>
      <c r="K55" s="219" t="s">
        <v>105</v>
      </c>
      <c r="Q55" s="213"/>
    </row>
    <row r="56" spans="1:17" x14ac:dyDescent="0.25">
      <c r="A56" s="64" t="s">
        <v>94</v>
      </c>
      <c r="B56" s="12"/>
      <c r="C56" s="12"/>
      <c r="D56" s="12" t="s">
        <v>106</v>
      </c>
      <c r="E56" s="12"/>
      <c r="F56" s="208">
        <f>$F$51*0.07</f>
        <v>0</v>
      </c>
      <c r="G56" s="13"/>
      <c r="H56" s="220" t="s">
        <v>107</v>
      </c>
      <c r="I56" s="221"/>
      <c r="J56" s="221"/>
      <c r="K56" s="219" t="s">
        <v>102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105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108</v>
      </c>
      <c r="I58" s="223" t="s">
        <v>109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110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111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112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113</v>
      </c>
      <c r="I62" s="231" t="s">
        <v>114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115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116</v>
      </c>
      <c r="I72" s="249" t="s">
        <v>96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117</v>
      </c>
      <c r="B1" s="252"/>
    </row>
    <row r="2" ht="17.45" customHeight="1" spans="1:2" x14ac:dyDescent="0.25">
      <c r="A2" s="253"/>
      <c r="B2" s="254" t="s">
        <v>118</v>
      </c>
    </row>
    <row r="3" ht="19.15" customHeight="1" spans="1:2" x14ac:dyDescent="0.25">
      <c r="A3" s="253"/>
      <c r="B3" s="254" t="s">
        <v>119</v>
      </c>
    </row>
    <row r="4" ht="16.9" customHeight="1" spans="1:2" x14ac:dyDescent="0.25">
      <c r="A4" s="253"/>
      <c r="B4" s="254" t="s">
        <v>120</v>
      </c>
    </row>
    <row r="5" ht="20.45" customHeight="1" spans="1:2" x14ac:dyDescent="0.25">
      <c r="A5" s="253"/>
      <c r="B5" s="254" t="s">
        <v>121</v>
      </c>
    </row>
    <row r="6" ht="18.6" customHeight="1" spans="1:2" x14ac:dyDescent="0.25">
      <c r="A6" s="253"/>
      <c r="B6" s="254" t="s">
        <v>122</v>
      </c>
    </row>
    <row r="7" ht="15.6" customHeight="1" spans="1:2" x14ac:dyDescent="0.25">
      <c r="A7" s="253"/>
      <c r="B7" s="254" t="s">
        <v>123</v>
      </c>
    </row>
    <row r="8" ht="13.9" customHeight="1" spans="1:2" x14ac:dyDescent="0.25">
      <c r="A8" s="253"/>
      <c r="B8" s="254" t="s">
        <v>124</v>
      </c>
    </row>
    <row r="9" ht="12.6" customHeight="1" spans="1:2" x14ac:dyDescent="0.25">
      <c r="A9" s="253"/>
      <c r="B9" s="254" t="s">
        <v>125</v>
      </c>
    </row>
    <row r="10" ht="15" customHeight="1" spans="1:2" x14ac:dyDescent="0.25">
      <c r="A10" s="255"/>
      <c r="B10" s="256" t="s">
        <v>126</v>
      </c>
    </row>
    <row r="11" ht="20.45" customHeight="1" spans="1:2" x14ac:dyDescent="0.25">
      <c r="A11" s="253"/>
      <c r="B11" s="254" t="s">
        <v>127</v>
      </c>
    </row>
    <row r="12" ht="18" customHeight="1" spans="1:2" x14ac:dyDescent="0.25">
      <c r="A12" s="253"/>
      <c r="B12" s="254" t="s">
        <v>128</v>
      </c>
    </row>
    <row r="13" ht="20.45" customHeight="1" spans="1:2" x14ac:dyDescent="0.25">
      <c r="A13" s="253"/>
      <c r="B13" s="254" t="s">
        <v>129</v>
      </c>
    </row>
    <row r="14" ht="18" customHeight="1" spans="1:2" x14ac:dyDescent="0.25">
      <c r="A14" s="253"/>
      <c r="B14" s="254" t="s">
        <v>130</v>
      </c>
    </row>
    <row r="15" ht="16.9" customHeight="1" spans="1:2" x14ac:dyDescent="0.25">
      <c r="A15" s="253"/>
      <c r="B15" s="254" t="s">
        <v>131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132</v>
      </c>
    </row>
    <row r="18" ht="16.15" customHeight="1" spans="1:2" x14ac:dyDescent="0.25">
      <c r="A18" s="253"/>
      <c r="B18" s="254" t="s">
        <v>133</v>
      </c>
    </row>
    <row r="19" ht="15.75" customHeight="1" spans="1:2" x14ac:dyDescent="0.25">
      <c r="A19" s="253"/>
      <c r="B19" s="254" t="s">
        <v>134</v>
      </c>
    </row>
    <row r="20" ht="14.45" customHeight="1" spans="1:2" x14ac:dyDescent="0.25">
      <c r="A20" s="253"/>
      <c r="B20" s="254" t="s">
        <v>135</v>
      </c>
    </row>
    <row r="21" ht="16.9" customHeight="1" spans="1:2" x14ac:dyDescent="0.25">
      <c r="A21" s="253"/>
      <c r="B21" s="254" t="s">
        <v>136</v>
      </c>
    </row>
    <row r="22" ht="16.9" customHeight="1" spans="1:2" x14ac:dyDescent="0.25">
      <c r="A22" s="253"/>
      <c r="B22" s="254" t="s">
        <v>137</v>
      </c>
    </row>
    <row r="23" ht="15.75" customHeight="1" spans="1:2" x14ac:dyDescent="0.25">
      <c r="A23" s="253"/>
      <c r="B23" s="254" t="s">
        <v>138</v>
      </c>
    </row>
    <row r="24" ht="18.6" customHeight="1" spans="1:2" x14ac:dyDescent="0.25">
      <c r="A24" s="253"/>
      <c r="B24" s="254" t="s">
        <v>139</v>
      </c>
    </row>
    <row r="25" ht="19.15" customHeight="1" spans="1:2" x14ac:dyDescent="0.25">
      <c r="A25" s="253"/>
      <c r="B25" s="254" t="s">
        <v>140</v>
      </c>
    </row>
    <row r="26" ht="24.6" customHeight="1" spans="1:2" x14ac:dyDescent="0.25">
      <c r="A26" s="253"/>
      <c r="B26" s="254" t="s">
        <v>141</v>
      </c>
    </row>
    <row r="27" ht="15.75" customHeight="1" spans="1:2" x14ac:dyDescent="0.25">
      <c r="A27" s="253"/>
      <c r="B27" s="254" t="s">
        <v>142</v>
      </c>
    </row>
    <row r="28" ht="25.15" customHeight="1" spans="1:2" x14ac:dyDescent="0.25">
      <c r="A28" s="253"/>
      <c r="B28" s="254" t="s">
        <v>143</v>
      </c>
    </row>
    <row r="29" ht="15.75" customHeight="1" spans="1:2" x14ac:dyDescent="0.25">
      <c r="A29" s="253"/>
      <c r="B29" s="254" t="s">
        <v>144</v>
      </c>
    </row>
    <row r="30" ht="19.15" customHeight="1" spans="1:2" x14ac:dyDescent="0.25">
      <c r="A30" s="253"/>
      <c r="B30" s="254" t="s">
        <v>145</v>
      </c>
    </row>
    <row r="31" ht="16.9" customHeight="1" spans="1:2" x14ac:dyDescent="0.25">
      <c r="A31" s="253"/>
      <c r="B31" s="254" t="s">
        <v>146</v>
      </c>
    </row>
    <row r="32" ht="16.15" customHeight="1" spans="1:2" x14ac:dyDescent="0.25">
      <c r="A32" s="253"/>
      <c r="B32" s="254" t="s">
        <v>147</v>
      </c>
    </row>
    <row r="33" ht="21" customHeight="1" spans="1:2" x14ac:dyDescent="0.25">
      <c r="A33" s="253"/>
      <c r="B33" s="254" t="s">
        <v>148</v>
      </c>
    </row>
    <row r="34" ht="18.6" customHeight="1" spans="1:2" x14ac:dyDescent="0.25">
      <c r="A34" s="253"/>
      <c r="B34" s="254" t="s">
        <v>149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