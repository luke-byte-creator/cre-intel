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<sst xmlns="http://schemas.openxmlformats.org/spreadsheetml/2006/main" count="245" uniqueCount="156">
  <si>
    <t>LEASE AND LEASE RENEWAL TRADE RECORD:</t>
  </si>
  <si>
    <t xml:space="preserve">ASSET/PROPERTY MANAGER:   </t>
  </si>
  <si>
    <t>Harvard Developments</t>
  </si>
  <si>
    <t>NEW  ✓</t>
  </si>
  <si>
    <t>RENEWAL</t>
  </si>
  <si>
    <t>EXTENSION</t>
  </si>
  <si>
    <t>BENEFICIAL OWNER                         (up to three)</t>
  </si>
  <si>
    <t>Harvard Diversified Enterprises Inc.</t>
  </si>
  <si>
    <t>RAW SPACE  ✓</t>
  </si>
  <si>
    <t>IMPROVED SPACE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</si>
  <si>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</si>
  <si>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</si>
  <si>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</si>
  <si>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</si>
  <si>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</si>
  <si>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</si>
  <si>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</si>
  <si>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</si>
  <si>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</si>
  <si>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</si>
  <si>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</si>
  <si>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</si>
  <si>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Jul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</si>
  <si>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</si>
  <si>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</si>
  <si>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</si>
  <si>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</si>
  <si>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</si>
  <si>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</si>
  <si>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</si>
  <si>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Redberry Shore Restaurants L.P.</t>
  </si>
  <si>
    <t xml:space="preserve">CONTACT NAME(REQUIRED): 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</si>
  <si>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</si>
  <si>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</si>
  <si>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</si>
  <si>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</si>
  <si>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2000, 1874 Scarth Street</t>
  </si>
  <si>
    <t>5520 Explorer Drive, Suite 200</t>
  </si>
  <si>
    <t>CITY:</t>
  </si>
  <si>
    <t>PROVINCE:</t>
  </si>
  <si>
    <t>POSTAL CODE:</t>
  </si>
  <si>
    <t>Regina</t>
  </si>
  <si>
    <t>SK</t>
  </si>
  <si>
    <t>S4P 4B3</t>
  </si>
  <si>
    <t>Mississauga</t>
  </si>
  <si>
    <t>ON</t>
  </si>
  <si>
    <t>L4W 5L1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</si>
  <si>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</si>
  <si>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</si>
  <si>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</si>
  <si>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</t>
  </si>
  <si>
    <t>RES</t>
  </si>
  <si>
    <t>4830 Gordon Road</t>
  </si>
  <si>
    <t>RETAIL  ✓</t>
  </si>
  <si>
    <t>INDUSTRIAL</t>
  </si>
  <si>
    <t>SP.USE</t>
  </si>
  <si>
    <t>S4W 0B7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</si>
  <si>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</si>
  <si>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</si>
  <si>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</si>
  <si>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</si>
  <si>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</si>
  <si>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</si>
  <si>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</si>
  <si>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</si>
  <si>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</si>
  <si>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</si>
  <si>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</si>
  <si>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</si>
  <si>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</si>
  <si>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</si>
  <si>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</si>
  <si>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</si>
  <si>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</si>
  <si>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Accommodation, Tourism &amp; Leisure</t>
  </si>
  <si>
    <t>Building Classification:</t>
  </si>
  <si>
    <t>Space Use:</t>
  </si>
  <si>
    <t>Jersey Mike's submarine sandwich restaurant</t>
  </si>
  <si>
    <t>Reason for Transaction: (Downsizing, Expansion, Relocation)</t>
  </si>
  <si>
    <t>New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</si>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</sst>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2025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2035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26</v>
      </c>
      <c r="J12" s="8"/>
      <c r="K12" s="26"/>
    </row>
    <row r="13" ht="15" customHeight="1" spans="1:11" x14ac:dyDescent="0.25">
      <c r="A13" s="25" t="s">
        <v>32</v>
      </c>
      <c r="B13" s="12" t="s">
        <v>26</v>
      </c>
      <c r="C13" s="12"/>
      <c r="D13" s="1" t="s">
        <v>33</v>
      </c>
      <c r="E13" s="53" t="s">
        <v>26</v>
      </c>
      <c r="F13" s="13"/>
      <c r="G13" s="25" t="s">
        <v>32</v>
      </c>
      <c r="H13" s="1" t="s">
        <v>26</v>
      </c>
      <c r="I13" s="1" t="s">
        <v>33</v>
      </c>
      <c r="J13" s="53" t="s">
        <v>26</v>
      </c>
      <c r="K13" s="13"/>
    </row>
    <row r="14" ht="12" customHeight="1" spans="1:11" x14ac:dyDescent="0.25">
      <c r="A14" s="54" t="s">
        <v>34</v>
      </c>
      <c r="B14" s="55"/>
      <c r="C14" s="55"/>
      <c r="D14" s="55"/>
      <c r="E14" s="55"/>
      <c r="F14" s="56"/>
      <c r="G14" s="57" t="s">
        <v>35</v>
      </c>
      <c r="H14" s="58"/>
      <c r="I14" s="58"/>
      <c r="J14" s="58"/>
      <c r="K14" s="59"/>
    </row>
    <row r="15" spans="1:11" x14ac:dyDescent="0.25">
      <c r="A15" s="60" t="s">
        <v>36</v>
      </c>
      <c r="B15" s="51"/>
      <c r="C15" s="51"/>
      <c r="D15" s="51"/>
      <c r="E15" s="51"/>
      <c r="F15" s="52"/>
      <c r="G15" s="60" t="s">
        <v>37</v>
      </c>
      <c r="H15" s="51"/>
      <c r="I15" s="51"/>
      <c r="J15" s="51"/>
      <c r="K15" s="52"/>
    </row>
    <row r="16" ht="12" customHeight="1" spans="1:11" x14ac:dyDescent="0.25">
      <c r="A16" s="61" t="s">
        <v>38</v>
      </c>
      <c r="B16" s="62"/>
      <c r="C16" s="62"/>
      <c r="D16" s="62" t="s">
        <v>39</v>
      </c>
      <c r="E16" s="62"/>
      <c r="F16" s="63" t="s">
        <v>40</v>
      </c>
      <c r="G16" s="61" t="s">
        <v>38</v>
      </c>
      <c r="H16" s="62"/>
      <c r="I16" s="62" t="s">
        <v>39</v>
      </c>
      <c r="J16" s="62"/>
      <c r="K16" s="63" t="s">
        <v>40</v>
      </c>
    </row>
    <row r="17" ht="14.25" customHeight="1" spans="1:11" x14ac:dyDescent="0.25">
      <c r="A17" s="64" t="s">
        <v>41</v>
      </c>
      <c r="B17" s="12"/>
      <c r="C17" s="12"/>
      <c r="D17" s="12" t="s">
        <v>42</v>
      </c>
      <c r="E17" s="12"/>
      <c r="F17" s="13" t="s">
        <v>43</v>
      </c>
      <c r="G17" s="64" t="s">
        <v>44</v>
      </c>
      <c r="H17" s="12"/>
      <c r="I17" s="12" t="s">
        <v>45</v>
      </c>
      <c r="J17" s="12"/>
      <c r="K17" s="13" t="s">
        <v>46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47</v>
      </c>
      <c r="B19" s="71"/>
      <c r="C19" s="71"/>
      <c r="D19" s="71"/>
      <c r="E19" s="71"/>
      <c r="F19" s="72"/>
      <c r="G19" s="33" t="s">
        <v>48</v>
      </c>
      <c r="H19" s="48" t="s">
        <v>49</v>
      </c>
      <c r="I19" s="11" t="s">
        <v>50</v>
      </c>
      <c r="J19" s="11"/>
      <c r="K19" s="73" t="s">
        <v>51</v>
      </c>
    </row>
    <row r="20" ht="12.4" customHeight="1" spans="1:11" x14ac:dyDescent="0.25">
      <c r="A20" s="74" t="s">
        <v>52</v>
      </c>
      <c r="B20" s="75"/>
      <c r="C20" s="75"/>
      <c r="D20" s="75"/>
      <c r="E20" s="75"/>
      <c r="F20" s="76"/>
      <c r="G20" s="74"/>
      <c r="H20" s="1" t="s">
        <v>53</v>
      </c>
      <c r="I20" s="27" t="s">
        <v>54</v>
      </c>
      <c r="J20" s="27"/>
      <c r="K20" s="77" t="s">
        <v>55</v>
      </c>
    </row>
    <row r="21" ht="12.4" customHeight="1" spans="1:11" x14ac:dyDescent="0.25">
      <c r="A21" s="61" t="s">
        <v>38</v>
      </c>
      <c r="B21" s="62"/>
      <c r="C21" s="62"/>
      <c r="D21" s="62" t="s">
        <v>39</v>
      </c>
      <c r="E21" s="62"/>
      <c r="F21" s="63" t="s">
        <v>40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41</v>
      </c>
      <c r="B22" s="75"/>
      <c r="C22" s="75"/>
      <c r="D22" s="75" t="s">
        <v>42</v>
      </c>
      <c r="E22" s="75"/>
      <c r="F22" s="76" t="s">
        <v>56</v>
      </c>
      <c r="G22" s="79" t="s">
        <v>57</v>
      </c>
      <c r="H22" s="80"/>
      <c r="I22" s="80"/>
      <c r="J22" s="80"/>
      <c r="K22" s="81"/>
    </row>
    <row r="23" ht="12.75" customHeight="1" spans="1:11" x14ac:dyDescent="0.25">
      <c r="A23" s="19" t="s">
        <v>58</v>
      </c>
      <c r="B23" s="20"/>
      <c r="C23" s="82" t="s">
        <v>59</v>
      </c>
      <c r="D23" s="67"/>
      <c r="E23" s="82" t="s">
        <v>60</v>
      </c>
      <c r="F23" s="83"/>
      <c r="G23" s="84" t="s">
        <v>61</v>
      </c>
      <c r="H23" s="85"/>
      <c r="I23" s="86">
        <v>1421.3</v>
      </c>
      <c r="J23" s="87"/>
      <c r="K23" s="88"/>
    </row>
    <row r="24" spans="1:11" x14ac:dyDescent="0.25">
      <c r="A24" s="89" t="s">
        <v>62</v>
      </c>
      <c r="B24" s="90"/>
      <c r="C24" s="90"/>
      <c r="D24" s="91" t="s">
        <v>26</v>
      </c>
      <c r="E24" s="91"/>
      <c r="F24" s="92"/>
      <c r="G24" s="93" t="s">
        <v>63</v>
      </c>
      <c r="H24" s="94"/>
      <c r="I24" s="95">
        <v>36.5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64</v>
      </c>
      <c r="H25" s="94"/>
      <c r="I25" s="102">
        <v>0</v>
      </c>
      <c r="J25" s="103"/>
      <c r="K25" s="104"/>
    </row>
    <row r="26" spans="1:11" x14ac:dyDescent="0.25">
      <c r="A26" s="105" t="s">
        <v>65</v>
      </c>
      <c r="B26" s="106"/>
      <c r="C26" s="106"/>
      <c r="D26" s="106"/>
      <c r="E26" s="106"/>
      <c r="F26" s="107"/>
      <c r="G26" s="108" t="s">
        <v>66</v>
      </c>
      <c r="H26" s="109"/>
      <c r="I26" s="95" t="s">
        <v>26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67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38</v>
      </c>
      <c r="B29" s="62"/>
      <c r="C29" s="62"/>
      <c r="D29" s="62" t="s">
        <v>39</v>
      </c>
      <c r="E29" s="62"/>
      <c r="F29" s="63" t="s">
        <v>40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68</v>
      </c>
      <c r="H30" s="123"/>
      <c r="I30" s="124" t="s">
        <v>69</v>
      </c>
      <c r="J30" s="125"/>
      <c r="K30" s="126"/>
    </row>
    <row r="31" ht="12.75" customHeight="1" spans="1:11" x14ac:dyDescent="0.25">
      <c r="A31" s="44" t="s">
        <v>70</v>
      </c>
      <c r="B31" s="45"/>
      <c r="C31" s="45"/>
      <c r="D31" s="45"/>
      <c r="E31" s="127" t="s">
        <v>26</v>
      </c>
      <c r="F31" s="127"/>
      <c r="G31" s="128" t="s">
        <v>71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72</v>
      </c>
      <c r="B33" s="137"/>
      <c r="C33" s="137"/>
      <c r="D33" s="137"/>
      <c r="E33" s="137"/>
      <c r="F33" s="138"/>
      <c r="G33" s="139" t="s">
        <v>73</v>
      </c>
      <c r="H33" s="140"/>
      <c r="I33" s="141" t="s">
        <v>74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75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76</v>
      </c>
      <c r="H35" s="147"/>
      <c r="I35" s="148" t="s">
        <v>77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78</v>
      </c>
      <c r="H36" s="151"/>
      <c r="I36" s="148" t="s">
        <v>79</v>
      </c>
      <c r="J36" s="148"/>
      <c r="K36" s="149"/>
      <c r="Q36" s="152"/>
    </row>
    <row r="37" ht="13.9" customHeight="1" spans="1:11" x14ac:dyDescent="0.25">
      <c r="A37" s="153" t="s">
        <v>38</v>
      </c>
      <c r="B37" s="154"/>
      <c r="C37" s="154"/>
      <c r="D37" s="154" t="s">
        <v>39</v>
      </c>
      <c r="E37" s="154"/>
      <c r="F37" s="155" t="s">
        <v>40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80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81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82</v>
      </c>
      <c r="B41" s="167"/>
      <c r="C41" s="167" t="s">
        <v>83</v>
      </c>
      <c r="D41" s="167" t="s">
        <v>84</v>
      </c>
      <c r="E41" s="167"/>
      <c r="F41" s="167" t="s">
        <v>83</v>
      </c>
      <c r="G41" s="167" t="s">
        <v>85</v>
      </c>
      <c r="H41" s="168" t="s">
        <v>86</v>
      </c>
      <c r="I41" s="167" t="s">
        <v>87</v>
      </c>
      <c r="J41" s="168" t="s">
        <v>88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83</v>
      </c>
      <c r="D42" s="174">
        <v>36.5</v>
      </c>
      <c r="E42" s="174"/>
      <c r="F42" s="173" t="s">
        <v>83</v>
      </c>
      <c r="G42" s="175">
        <v>5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83</v>
      </c>
      <c r="D43" s="174">
        <v>38.5</v>
      </c>
      <c r="E43" s="174"/>
      <c r="F43" s="173" t="s">
        <v>83</v>
      </c>
      <c r="G43" s="175">
        <v>5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83</v>
      </c>
      <c r="D45" s="174">
        <v>0</v>
      </c>
      <c r="E45" s="174"/>
      <c r="F45" s="173" t="s">
        <v>83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83</v>
      </c>
      <c r="D46" s="174">
        <v>0</v>
      </c>
      <c r="E46" s="174"/>
      <c r="F46" s="173" t="s">
        <v>83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83</v>
      </c>
      <c r="D47" s="174">
        <v>0</v>
      </c>
      <c r="E47" s="174"/>
      <c r="F47" s="173" t="s">
        <v>83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89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90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91</v>
      </c>
      <c r="B49" s="197"/>
      <c r="C49" s="197"/>
      <c r="D49" s="197"/>
      <c r="E49" s="197"/>
      <c r="F49" s="197"/>
      <c r="G49" s="198"/>
      <c r="H49" s="199" t="s">
        <v>92</v>
      </c>
      <c r="I49" s="200"/>
      <c r="J49" s="201" t="s">
        <v>93</v>
      </c>
      <c r="K49" s="202" t="s">
        <v>94</v>
      </c>
    </row>
    <row r="50" spans="1:13" x14ac:dyDescent="0.25">
      <c r="A50" s="7" t="s">
        <v>95</v>
      </c>
      <c r="B50" s="8"/>
      <c r="C50" s="8"/>
      <c r="D50" s="12" t="s">
        <v>96</v>
      </c>
      <c r="E50" s="12"/>
      <c r="F50" s="12" t="s">
        <v>97</v>
      </c>
      <c r="G50" s="13" t="s">
        <v>98</v>
      </c>
      <c r="H50" s="203" t="s">
        <v>99</v>
      </c>
      <c r="I50" s="204"/>
      <c r="J50" s="204"/>
      <c r="K50" s="205"/>
      <c r="M50" s="182"/>
    </row>
    <row r="51" spans="1:17" x14ac:dyDescent="0.25">
      <c r="A51" s="206" t="s">
        <v>100</v>
      </c>
      <c r="B51" s="207"/>
      <c r="C51" s="207"/>
      <c r="D51" s="12"/>
      <c r="E51" s="12"/>
      <c r="F51" s="208">
        <f>J48*0.5</f>
        <v>0</v>
      </c>
      <c r="G51" s="28"/>
      <c r="H51" s="209" t="s">
        <v>101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100</v>
      </c>
      <c r="B52" s="12"/>
      <c r="C52" s="12"/>
      <c r="D52" s="12" t="s">
        <v>102</v>
      </c>
      <c r="E52" s="12"/>
      <c r="F52" s="208">
        <f>$F$51*0.385</f>
        <v>0</v>
      </c>
      <c r="G52" s="13"/>
      <c r="H52" s="209" t="s">
        <v>103</v>
      </c>
      <c r="I52" s="210"/>
      <c r="K52" s="77"/>
      <c r="Q52" s="213"/>
    </row>
    <row r="53" spans="1:17" x14ac:dyDescent="0.25">
      <c r="A53" s="64" t="s">
        <v>100</v>
      </c>
      <c r="B53" s="12"/>
      <c r="C53" s="12"/>
      <c r="D53" s="12" t="s">
        <v>104</v>
      </c>
      <c r="E53" s="12"/>
      <c r="F53" s="208">
        <f>$F$51*0.265</f>
        <v>0</v>
      </c>
      <c r="G53" s="13"/>
      <c r="H53" s="214" t="s">
        <v>105</v>
      </c>
      <c r="I53" s="215"/>
      <c r="J53" s="114" t="s">
        <v>26</v>
      </c>
      <c r="K53" s="115"/>
      <c r="Q53" s="213"/>
    </row>
    <row r="54" spans="1:17" x14ac:dyDescent="0.25">
      <c r="A54" s="64" t="s">
        <v>100</v>
      </c>
      <c r="B54" s="12"/>
      <c r="C54" s="12"/>
      <c r="D54" s="12" t="s">
        <v>106</v>
      </c>
      <c r="E54" s="12"/>
      <c r="F54" s="208">
        <f>$F$51*0.12</f>
        <v>0</v>
      </c>
      <c r="G54" s="13"/>
      <c r="H54" s="216" t="s">
        <v>107</v>
      </c>
      <c r="I54" s="217" t="s">
        <v>108</v>
      </c>
      <c r="J54" s="218" t="s">
        <v>109</v>
      </c>
      <c r="K54" s="219" t="s">
        <v>108</v>
      </c>
      <c r="Q54" s="213"/>
    </row>
    <row r="55" spans="1:17" x14ac:dyDescent="0.25">
      <c r="A55" s="64" t="s">
        <v>100</v>
      </c>
      <c r="B55" s="12"/>
      <c r="C55" s="12"/>
      <c r="D55" s="12" t="s">
        <v>110</v>
      </c>
      <c r="E55" s="12"/>
      <c r="F55" s="208">
        <f>$F$51*0.16</f>
        <v>0</v>
      </c>
      <c r="G55" s="13"/>
      <c r="H55" s="216"/>
      <c r="I55" s="217" t="s">
        <v>111</v>
      </c>
      <c r="J55" s="218"/>
      <c r="K55" s="219" t="s">
        <v>111</v>
      </c>
      <c r="Q55" s="213"/>
    </row>
    <row r="56" spans="1:17" x14ac:dyDescent="0.25">
      <c r="A56" s="64" t="s">
        <v>100</v>
      </c>
      <c r="B56" s="12"/>
      <c r="C56" s="12"/>
      <c r="D56" s="12" t="s">
        <v>112</v>
      </c>
      <c r="E56" s="12"/>
      <c r="F56" s="208">
        <f>$F$51*0.07</f>
        <v>0</v>
      </c>
      <c r="G56" s="13"/>
      <c r="H56" s="220" t="s">
        <v>113</v>
      </c>
      <c r="I56" s="221"/>
      <c r="J56" s="221"/>
      <c r="K56" s="219" t="s">
        <v>108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111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114</v>
      </c>
      <c r="I58" s="223" t="s">
        <v>115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116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117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118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119</v>
      </c>
      <c r="I62" s="231" t="s">
        <v>120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45870</v>
      </c>
      <c r="I63" s="235">
        <v>47695</v>
      </c>
      <c r="J63" s="232">
        <v>36.5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47696</v>
      </c>
      <c r="I64" s="235">
        <v>49521</v>
      </c>
      <c r="J64" s="236">
        <v>38.5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46023</v>
      </c>
      <c r="I65" s="235">
        <v>47848</v>
      </c>
      <c r="J65" s="238">
        <v>33.5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121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122</v>
      </c>
      <c r="I72" s="249" t="s">
        <v>102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123</v>
      </c>
      <c r="B1" s="252"/>
    </row>
    <row r="2" ht="17.45" customHeight="1" spans="1:2" x14ac:dyDescent="0.25">
      <c r="A2" s="253"/>
      <c r="B2" s="254" t="s">
        <v>74</v>
      </c>
    </row>
    <row r="3" ht="19.15" customHeight="1" spans="1:2" x14ac:dyDescent="0.25">
      <c r="A3" s="253"/>
      <c r="B3" s="254" t="s">
        <v>124</v>
      </c>
    </row>
    <row r="4" ht="16.9" customHeight="1" spans="1:2" x14ac:dyDescent="0.25">
      <c r="A4" s="253"/>
      <c r="B4" s="254" t="s">
        <v>125</v>
      </c>
    </row>
    <row r="5" ht="20.45" customHeight="1" spans="1:2" x14ac:dyDescent="0.25">
      <c r="A5" s="253"/>
      <c r="B5" s="254" t="s">
        <v>126</v>
      </c>
    </row>
    <row r="6" ht="18.6" customHeight="1" spans="1:2" x14ac:dyDescent="0.25">
      <c r="A6" s="253"/>
      <c r="B6" s="254" t="s">
        <v>127</v>
      </c>
    </row>
    <row r="7" ht="15.6" customHeight="1" spans="1:2" x14ac:dyDescent="0.25">
      <c r="A7" s="253"/>
      <c r="B7" s="254" t="s">
        <v>128</v>
      </c>
    </row>
    <row r="8" ht="13.9" customHeight="1" spans="1:2" x14ac:dyDescent="0.25">
      <c r="A8" s="253"/>
      <c r="B8" s="254" t="s">
        <v>129</v>
      </c>
    </row>
    <row r="9" ht="12.6" customHeight="1" spans="1:2" x14ac:dyDescent="0.25">
      <c r="A9" s="253"/>
      <c r="B9" s="254" t="s">
        <v>130</v>
      </c>
    </row>
    <row r="10" ht="15" customHeight="1" spans="1:2" x14ac:dyDescent="0.25">
      <c r="A10" s="255"/>
      <c r="B10" s="256" t="s">
        <v>131</v>
      </c>
    </row>
    <row r="11" ht="20.45" customHeight="1" spans="1:2" x14ac:dyDescent="0.25">
      <c r="A11" s="253"/>
      <c r="B11" s="254" t="s">
        <v>132</v>
      </c>
    </row>
    <row r="12" ht="18" customHeight="1" spans="1:2" x14ac:dyDescent="0.25">
      <c r="A12" s="253"/>
      <c r="B12" s="254" t="s">
        <v>133</v>
      </c>
    </row>
    <row r="13" ht="20.45" customHeight="1" spans="1:2" x14ac:dyDescent="0.25">
      <c r="A13" s="253"/>
      <c r="B13" s="254" t="s">
        <v>134</v>
      </c>
    </row>
    <row r="14" ht="18" customHeight="1" spans="1:2" x14ac:dyDescent="0.25">
      <c r="A14" s="253"/>
      <c r="B14" s="254" t="s">
        <v>135</v>
      </c>
    </row>
    <row r="15" ht="16.9" customHeight="1" spans="1:2" x14ac:dyDescent="0.25">
      <c r="A15" s="253"/>
      <c r="B15" s="254" t="s">
        <v>136</v>
      </c>
    </row>
    <row r="16" ht="16.15" customHeight="1" spans="1:2" x14ac:dyDescent="0.25">
      <c r="A16" s="253"/>
      <c r="B16" s="254" t="s">
        <v>137</v>
      </c>
    </row>
    <row r="17" ht="15.75" customHeight="1" spans="1:2" x14ac:dyDescent="0.25">
      <c r="A17" s="253"/>
      <c r="B17" s="254" t="s">
        <v>138</v>
      </c>
    </row>
    <row r="18" ht="16.15" customHeight="1" spans="1:2" x14ac:dyDescent="0.25">
      <c r="A18" s="253"/>
      <c r="B18" s="254" t="s">
        <v>139</v>
      </c>
    </row>
    <row r="19" ht="15.75" customHeight="1" spans="1:2" x14ac:dyDescent="0.25">
      <c r="A19" s="253"/>
      <c r="B19" s="254" t="s">
        <v>140</v>
      </c>
    </row>
    <row r="20" ht="14.45" customHeight="1" spans="1:2" x14ac:dyDescent="0.25">
      <c r="A20" s="253"/>
      <c r="B20" s="254" t="s">
        <v>141</v>
      </c>
    </row>
    <row r="21" ht="16.9" customHeight="1" spans="1:2" x14ac:dyDescent="0.25">
      <c r="A21" s="253"/>
      <c r="B21" s="254" t="s">
        <v>142</v>
      </c>
    </row>
    <row r="22" ht="16.9" customHeight="1" spans="1:2" x14ac:dyDescent="0.25">
      <c r="A22" s="253"/>
      <c r="B22" s="254" t="s">
        <v>143</v>
      </c>
    </row>
    <row r="23" ht="15.75" customHeight="1" spans="1:2" x14ac:dyDescent="0.25">
      <c r="A23" s="253"/>
      <c r="B23" s="254" t="s">
        <v>144</v>
      </c>
    </row>
    <row r="24" ht="18.6" customHeight="1" spans="1:2" x14ac:dyDescent="0.25">
      <c r="A24" s="253"/>
      <c r="B24" s="254" t="s">
        <v>145</v>
      </c>
    </row>
    <row r="25" ht="19.15" customHeight="1" spans="1:2" x14ac:dyDescent="0.25">
      <c r="A25" s="253"/>
      <c r="B25" s="254" t="s">
        <v>146</v>
      </c>
    </row>
    <row r="26" ht="24.6" customHeight="1" spans="1:2" x14ac:dyDescent="0.25">
      <c r="A26" s="253"/>
      <c r="B26" s="254" t="s">
        <v>147</v>
      </c>
    </row>
    <row r="27" ht="15.75" customHeight="1" spans="1:2" x14ac:dyDescent="0.25">
      <c r="A27" s="253"/>
      <c r="B27" s="254" t="s">
        <v>148</v>
      </c>
    </row>
    <row r="28" ht="25.15" customHeight="1" spans="1:2" x14ac:dyDescent="0.25">
      <c r="A28" s="253"/>
      <c r="B28" s="254" t="s">
        <v>149</v>
      </c>
    </row>
    <row r="29" ht="15.75" customHeight="1" spans="1:2" x14ac:dyDescent="0.25">
      <c r="A29" s="253"/>
      <c r="B29" s="254" t="s">
        <v>150</v>
      </c>
    </row>
    <row r="30" ht="19.15" customHeight="1" spans="1:2" x14ac:dyDescent="0.25">
      <c r="A30" s="253"/>
      <c r="B30" s="254" t="s">
        <v>151</v>
      </c>
    </row>
    <row r="31" ht="16.9" customHeight="1" spans="1:2" x14ac:dyDescent="0.25">
      <c r="A31" s="253"/>
      <c r="B31" s="254" t="s">
        <v>152</v>
      </c>
    </row>
    <row r="32" ht="16.15" customHeight="1" spans="1:2" x14ac:dyDescent="0.25">
      <c r="A32" s="253"/>
      <c r="B32" s="254" t="s">
        <v>153</v>
      </c>
    </row>
    <row r="33" ht="21" customHeight="1" spans="1:2" x14ac:dyDescent="0.25">
      <c r="A33" s="253"/>
      <c r="B33" s="254" t="s">
        <v>154</v>
      </c>
    </row>
    <row r="34" ht="18.6" customHeight="1" spans="1:2" x14ac:dyDescent="0.25">
      <c r="A34" s="253"/>
      <c r="B34" s="254" t="s">
        <v>155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