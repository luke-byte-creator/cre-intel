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<sst xmlns="http://schemas.openxmlformats.org/spreadsheetml/2006/main" count="244" uniqueCount="150">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</sst>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5195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0</v>
      </c>
      <c r="E42" s="174"/>
      <c r="F42" s="173" t="s">
        <v>77</v>
      </c>
      <c r="G42" s="175">
        <v>0</v>
      </c>
      <c r="H42" s="176">
        <f t="shared" ref="H42:H47" si="0">A42*D42*G42</f>
        <v>353592.5</v>
      </c>
      <c r="I42" s="177">
        <v>0</v>
      </c>
      <c r="J42" s="178">
        <v>20000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0</v>
      </c>
      <c r="E43" s="174"/>
      <c r="F43" s="173" t="s">
        <v>77</v>
      </c>
      <c r="G43" s="175">
        <v>0</v>
      </c>
      <c r="H43" s="176">
        <f t="shared" si="0"/>
        <v>369425</v>
      </c>
      <c r="I43" s="177">
        <v>0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$F$51*0.16</f>
        <v>0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