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600" yWindow="-14700" windowWidth="28800" windowHeight="23280"/>
  </bookViews>
  <sheets>
    <sheet sheetId="1" name="Trade Record" state="visible" r:id="rId4"/>
    <sheet sheetId="2" name="Occupier Industry" state="visible" r:id="rId5"/>
    <sheet sheetId="3" name="Sheet3" state="visible" r:id="rId6"/>
  </sheets>
  <definedNames>
    <definedName name="_xlnm.Print_Area" localSheetId="0">'Trade Record'!$A1:$K78</definedName>
  </definedNames>
  <calcPr calcId="171027" fullCalcOnLoad="1"/>
</workbook>
</file>

<file path=xl/sharedStrings.xml><?xml version="1.0" encoding="utf-8"?>
<sst xmlns="http://schemas.openxmlformats.org/spreadsheetml/2006/main" count="203" uniqueCount="130">
  <si>
    <t>SALE TRADE RECORD</t>
  </si>
  <si>
    <t>Deal #</t>
  </si>
  <si>
    <t>FINTRAC REPRESENTATION:</t>
  </si>
  <si>
    <t xml:space="preserve">Vendor:  </t>
  </si>
  <si>
    <t>√</t>
  </si>
  <si>
    <t>BUYER:</t>
  </si>
  <si>
    <t/>
  </si>
  <si>
    <t>CBRE Engaged By:</t>
  </si>
  <si>
    <t>CBRE Paid BY:</t>
  </si>
  <si>
    <t xml:space="preserve">VENDOR: </t>
  </si>
  <si>
    <t>Linfield Investments Inc.</t>
  </si>
  <si>
    <t xml:space="preserve">PURCHASER: </t>
  </si>
  <si>
    <t>Sarveshwar Singh Jaswal &amp; Aman Rana (or Nominee)</t>
  </si>
  <si>
    <t xml:space="preserve">Contact Name: </t>
  </si>
  <si>
    <t>Sarveshwar Singh Jaswal</t>
  </si>
  <si>
    <t xml:space="preserve">Phone:  </t>
  </si>
  <si>
    <t xml:space="preserve">Fax: </t>
  </si>
  <si>
    <t xml:space="preserve">Mailing Address:
</t>
  </si>
  <si>
    <t>SUITE #</t>
  </si>
  <si>
    <t xml:space="preserve">Mailing Address:
219 Stechishin Crescent</t>
  </si>
  <si>
    <t>City:</t>
  </si>
  <si>
    <t>Province:</t>
  </si>
  <si>
    <t>Postal Code:</t>
  </si>
  <si>
    <t>Saskatoon</t>
  </si>
  <si>
    <t>SK</t>
  </si>
  <si>
    <t>S7K 5P6</t>
  </si>
  <si>
    <t xml:space="preserve">Property Name &amp; Address: 
137 2nd Avenue N</t>
  </si>
  <si>
    <t>Deal Status:</t>
  </si>
  <si>
    <t>Conditional  √</t>
  </si>
  <si>
    <t>Firm:</t>
  </si>
  <si>
    <t>Closed:</t>
  </si>
  <si>
    <t>Deal Closing Date:</t>
  </si>
  <si>
    <t>Property Type</t>
  </si>
  <si>
    <t xml:space="preserve">Retail </t>
  </si>
  <si>
    <t>Office</t>
  </si>
  <si>
    <t>Multi Housing</t>
  </si>
  <si>
    <t>Interest Account?</t>
  </si>
  <si>
    <t>Deposit Amount:</t>
  </si>
  <si>
    <t>Land</t>
  </si>
  <si>
    <t>Sp. Use</t>
  </si>
  <si>
    <t>Industrial</t>
  </si>
  <si>
    <t>Yes √</t>
  </si>
  <si>
    <t>No</t>
  </si>
  <si>
    <t>Held By:</t>
  </si>
  <si>
    <t>RES:</t>
  </si>
  <si>
    <t>Deduct for Commission?</t>
  </si>
  <si>
    <t xml:space="preserve">OTHER: </t>
  </si>
  <si>
    <t>Purchaser's Solicitor</t>
  </si>
  <si>
    <t>Parcel Size in Acres:</t>
  </si>
  <si>
    <t>Yes</t>
  </si>
  <si>
    <t>No √</t>
  </si>
  <si>
    <t>Total Sq. Ft of Buildings</t>
  </si>
  <si>
    <t>OCCUPIER INDUSTRY:  ENTER THE APPROPRIATE OCCUPIER CHOOSE FROM THE OCCUPIER TAB</t>
  </si>
  <si>
    <t>Number of Units</t>
  </si>
  <si>
    <t>Portfilio</t>
  </si>
  <si>
    <t>No  √</t>
  </si>
  <si>
    <t>Number of Buildings:</t>
  </si>
  <si>
    <t>CBRE Listing?</t>
  </si>
  <si>
    <t xml:space="preserve">Yes </t>
  </si>
  <si>
    <t>Type of Listing:</t>
  </si>
  <si>
    <t>Open</t>
  </si>
  <si>
    <t>Exclusive</t>
  </si>
  <si>
    <t>MLS</t>
  </si>
  <si>
    <t>off market</t>
  </si>
  <si>
    <t xml:space="preserve">VENDOR SOLICITOR: </t>
  </si>
  <si>
    <t>Fax:</t>
  </si>
  <si>
    <t>PURCHASER SOLICITOR:</t>
  </si>
  <si>
    <t>OUTSIDE BROKER:</t>
  </si>
  <si>
    <t>Contact Name:</t>
  </si>
  <si>
    <t xml:space="preserve">Mailing Address: 
</t>
  </si>
  <si>
    <t>OSB COMMISSION AMOUNT:</t>
  </si>
  <si>
    <t>COMMISISON CALCULATION:</t>
  </si>
  <si>
    <t>TOTAL PURCHASE PRICE:</t>
  </si>
  <si>
    <t>Percentage Based on Sale Price</t>
  </si>
  <si>
    <t>Total Commission</t>
  </si>
  <si>
    <t>CBRE COMMISSION DISBRIBUTION:</t>
  </si>
  <si>
    <t>BRANCH #</t>
  </si>
  <si>
    <t>Branch Name:</t>
  </si>
  <si>
    <t>Sales Person</t>
  </si>
  <si>
    <t>Initials</t>
  </si>
  <si>
    <t>Total Commission Due</t>
  </si>
  <si>
    <t>100101</t>
  </si>
  <si>
    <t>Michael Bratvold</t>
  </si>
  <si>
    <t>Ben Kelley</t>
  </si>
  <si>
    <t>Shane Endicott</t>
  </si>
  <si>
    <t>Dallon Kuprowski</t>
  </si>
  <si>
    <t>Luke Jansen</t>
  </si>
  <si>
    <t>Send Invoice To:</t>
  </si>
  <si>
    <t>Vendor     √</t>
  </si>
  <si>
    <t>Vendor's Lawyer</t>
  </si>
  <si>
    <t>Purchaser</t>
  </si>
  <si>
    <t>Purchaser's Lawyer</t>
  </si>
  <si>
    <t xml:space="preserve">Outside Broker </t>
  </si>
  <si>
    <t>Broker:  Michael Bratvold</t>
  </si>
  <si>
    <t>Include both GST  &amp; PST</t>
  </si>
  <si>
    <t>Date: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</si>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</sst>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_);[Red](&quot;$&quot;#,##0.00)"/>
    <numFmt numFmtId="165" formatCode="_(&quot;$&quot;* #,##0.00_);_(&quot;$&quot;* (#,##0.00);_(&quot;$&quot;* &quot;-&quot;??_);_(@_)"/>
    <numFmt numFmtId="166" formatCode="0.0%"/>
    <numFmt numFmtId="167" formatCode="_-&quot;$&quot;* #,##0.00_-;-&quot;$&quot;* #,##0.00_-;_-&quot;$&quot;* &quot;-&quot;??_-;_-@_-"/>
    <numFmt numFmtId="168" formatCode="[$-F800]dddd, mmmm dd, yyyy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Futura BdCn BT"/>
    </font>
    <font>
      <b/>
      <i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rgb="FFFF0000"/>
      <family val="2"/>
      <scheme val="minor"/>
      <sz val="14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1" xfId="0" applyBorder="1"/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1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3" xfId="0" applyBorder="1"/>
    <xf numFmtId="0" fontId="0" fillId="0" borderId="21" xfId="0" applyBorder="1"/>
    <xf numFmtId="0" fontId="0" fillId="0" borderId="22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right"/>
    </xf>
    <xf numFmtId="164" fontId="0" fillId="2" borderId="28" xfId="0" applyNumberFormat="1" applyFill="1" applyBorder="1" applyAlignment="1">
      <alignment horizontal="center"/>
    </xf>
    <xf numFmtId="165" fontId="0" fillId="2" borderId="29" xfId="0" applyNumberFormat="1" applyFill="1" applyBorder="1" applyAlignment="1">
      <alignment horizontal="center"/>
    </xf>
    <xf numFmtId="0" fontId="1" fillId="0" borderId="0" xfId="0" applyFont="1"/>
    <xf numFmtId="0" fontId="0" fillId="0" borderId="12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7" xfId="0" applyBorder="1"/>
    <xf numFmtId="0" fontId="0" fillId="0" borderId="3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3" xfId="0" applyBorder="1"/>
    <xf numFmtId="0" fontId="0" fillId="0" borderId="34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5" xfId="0" applyBorder="1"/>
    <xf numFmtId="0" fontId="1" fillId="0" borderId="24" xfId="0" applyFont="1" applyBorder="1"/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8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7" xfId="0" applyFont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1" fillId="2" borderId="42" xfId="0" applyNumberFormat="1" applyFont="1" applyFill="1" applyBorder="1" applyAlignment="1">
      <alignment horizontal="center"/>
    </xf>
    <xf numFmtId="165" fontId="1" fillId="2" borderId="43" xfId="0" applyNumberFormat="1" applyFont="1" applyFill="1" applyBorder="1" applyAlignment="1">
      <alignment horizontal="center"/>
    </xf>
    <xf numFmtId="165" fontId="1" fillId="2" borderId="44" xfId="0" applyNumberFormat="1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2" borderId="51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0" borderId="52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53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7" fontId="0" fillId="2" borderId="37" xfId="0" applyNumberForma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2" borderId="3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168" fontId="1" fillId="0" borderId="18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center" vertical="center"/>
    </xf>
    <xf numFmtId="168" fontId="1" fillId="0" borderId="15" xfId="0" applyNumberFormat="1" applyFont="1" applyBorder="1" applyAlignment="1">
      <alignment horizontal="center" vertical="center"/>
    </xf>
    <xf numFmtId="0" fontId="7" fillId="4" borderId="37" xfId="0" applyFont="1" applyFill="1" applyBorder="1" applyAlignment="1">
      <alignment vertical="center" wrapText="1"/>
    </xf>
    <xf numFmtId="0" fontId="7" fillId="4" borderId="39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workbookViewId="0" zoomScale="100" zoomScaleNormal="100">
      <selection activeCell="A70" sqref="A70"/>
    </sheetView>
  </sheetViews>
  <sheetFormatPr defaultRowHeight="14.5" outlineLevelRow="0" outlineLevelCol="0" x14ac:dyDescent="0" defaultColWidth="9.453125" customHeight="1"/>
  <cols>
    <col min="1" max="1" width="13.453125" customWidth="1"/>
    <col min="2" max="2" width="11.1796875" customWidth="1"/>
    <col min="3" max="3" width="8.81640625" customWidth="1"/>
    <col min="4" max="4" width="12.54296875" customWidth="1"/>
    <col min="5" max="5" width="8.7265625" customWidth="1"/>
    <col min="6" max="6" width="13.1796875" customWidth="1"/>
    <col min="7" max="7" width="7.453125" customWidth="1"/>
    <col min="8" max="8" width="6.453125" customWidth="1"/>
    <col min="9" max="9" width="10.26953125" customWidth="1"/>
    <col min="10" max="10" width="10.453125" customWidth="1"/>
    <col min="11" max="11" width="9.45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/>
      <c r="K1" s="5"/>
    </row>
    <row r="2" spans="1:11" x14ac:dyDescent="0.25">
      <c r="A2" s="6" t="s">
        <v>2</v>
      </c>
      <c r="B2" s="7"/>
      <c r="C2" s="8" t="s">
        <v>3</v>
      </c>
      <c r="D2" s="9" t="s">
        <v>4</v>
      </c>
      <c r="E2" s="10"/>
      <c r="F2" s="8" t="s">
        <v>5</v>
      </c>
      <c r="G2" s="11" t="s">
        <v>4</v>
      </c>
      <c r="H2" s="12"/>
      <c r="I2" s="12"/>
      <c r="J2" s="12"/>
      <c r="K2" s="13"/>
    </row>
    <row r="3" ht="15" customHeight="1" spans="1:11" x14ac:dyDescent="0.25">
      <c r="A3" s="14" t="s">
        <v>6</v>
      </c>
      <c r="B3" s="15"/>
      <c r="C3" s="16"/>
      <c r="D3" s="16"/>
      <c r="E3" s="16"/>
      <c r="F3" s="16"/>
      <c r="G3" s="16"/>
      <c r="H3" s="17"/>
      <c r="I3" s="18"/>
      <c r="J3" s="16" t="s">
        <v>6</v>
      </c>
      <c r="K3" s="19" t="s">
        <v>6</v>
      </c>
    </row>
    <row r="4" spans="1:11" x14ac:dyDescent="0.25">
      <c r="A4" s="14"/>
      <c r="B4" s="15"/>
      <c r="C4" s="16"/>
      <c r="D4" s="16"/>
      <c r="E4" s="16"/>
      <c r="F4" s="16"/>
      <c r="G4" s="16"/>
      <c r="H4" s="17"/>
      <c r="I4" s="18"/>
      <c r="J4" s="16"/>
      <c r="K4" s="19"/>
    </row>
    <row r="5" ht="12.75" customHeight="1" spans="1:11" x14ac:dyDescent="0.25">
      <c r="A5" s="20" t="s">
        <v>6</v>
      </c>
      <c r="B5" s="21"/>
      <c r="C5" s="22"/>
      <c r="D5" s="22"/>
      <c r="E5" s="22"/>
      <c r="F5" s="22"/>
      <c r="G5" s="23"/>
      <c r="H5" s="24" t="s">
        <v>7</v>
      </c>
      <c r="I5" s="25"/>
      <c r="J5" s="18" t="s">
        <v>6</v>
      </c>
      <c r="K5" s="26" t="s">
        <v>6</v>
      </c>
    </row>
    <row r="6" ht="12.75" customHeight="1" spans="1:11" x14ac:dyDescent="0.25">
      <c r="A6" s="20"/>
      <c r="B6" s="21"/>
      <c r="C6" s="22"/>
      <c r="D6" s="22"/>
      <c r="E6" s="22"/>
      <c r="F6" s="22"/>
      <c r="G6" s="23"/>
      <c r="H6" s="24" t="s">
        <v>8</v>
      </c>
      <c r="I6" s="25"/>
      <c r="J6" t="s">
        <v>6</v>
      </c>
      <c r="K6" s="26" t="s">
        <v>4</v>
      </c>
    </row>
    <row r="7" ht="15" customHeight="1" spans="1:11" x14ac:dyDescent="0.25">
      <c r="A7" s="27"/>
      <c r="B7" s="28"/>
      <c r="C7" s="29"/>
      <c r="D7" s="29"/>
      <c r="E7" s="29"/>
      <c r="F7" s="29"/>
      <c r="G7" s="29"/>
      <c r="H7" s="30"/>
      <c r="I7" s="31"/>
      <c r="J7" s="31"/>
      <c r="K7" s="32"/>
    </row>
    <row r="8" spans="1:11" x14ac:dyDescent="0.25">
      <c r="A8" s="33" t="s">
        <v>9</v>
      </c>
      <c r="B8" s="34" t="s">
        <v>10</v>
      </c>
      <c r="C8" s="34"/>
      <c r="D8" s="34"/>
      <c r="E8" s="35"/>
      <c r="F8" s="33" t="s">
        <v>11</v>
      </c>
      <c r="G8" s="36" t="s">
        <v>12</v>
      </c>
      <c r="H8" s="36"/>
      <c r="I8" s="36"/>
      <c r="J8" s="36"/>
      <c r="K8" s="37"/>
    </row>
    <row r="9" spans="1:11" x14ac:dyDescent="0.25">
      <c r="A9" s="38" t="s">
        <v>13</v>
      </c>
      <c r="B9" s="18" t="s">
        <v>6</v>
      </c>
      <c r="C9" s="18"/>
      <c r="D9" s="18"/>
      <c r="E9" s="26"/>
      <c r="F9" s="38" t="s">
        <v>13</v>
      </c>
      <c r="G9" s="18" t="s">
        <v>14</v>
      </c>
      <c r="H9" s="18"/>
      <c r="I9" s="18"/>
      <c r="J9" s="18"/>
      <c r="K9" s="26"/>
    </row>
    <row r="10" spans="1:11" x14ac:dyDescent="0.25">
      <c r="A10" s="38" t="s">
        <v>15</v>
      </c>
      <c r="B10" s="39" t="s">
        <v>6</v>
      </c>
      <c r="C10" s="39"/>
      <c r="D10" t="s">
        <v>16</v>
      </c>
      <c r="F10" s="38" t="s">
        <v>15</v>
      </c>
      <c r="G10" s="18" t="s">
        <v>6</v>
      </c>
      <c r="H10" s="18"/>
      <c r="I10" t="s">
        <v>16</v>
      </c>
      <c r="J10" s="18"/>
      <c r="K10" s="26"/>
    </row>
    <row r="11" spans="1:11" x14ac:dyDescent="0.25">
      <c r="A11" s="40" t="s">
        <v>17</v>
      </c>
      <c r="B11" s="41"/>
      <c r="C11" s="41"/>
      <c r="D11" s="41"/>
      <c r="E11" s="18" t="s">
        <v>18</v>
      </c>
      <c r="F11" s="40" t="s">
        <v>19</v>
      </c>
      <c r="G11" s="41"/>
      <c r="H11" s="41"/>
      <c r="I11" s="41"/>
      <c r="J11" s="18" t="s">
        <v>18</v>
      </c>
      <c r="K11" s="26"/>
    </row>
    <row r="12" spans="1:11" x14ac:dyDescent="0.25">
      <c r="A12" s="42"/>
      <c r="B12" s="41"/>
      <c r="C12" s="41"/>
      <c r="D12" s="41"/>
      <c r="E12" s="18"/>
      <c r="F12" s="42"/>
      <c r="G12" s="41"/>
      <c r="H12" s="41"/>
      <c r="I12" s="41"/>
      <c r="J12" s="18" t="s">
        <v>6</v>
      </c>
      <c r="K12" s="26"/>
    </row>
    <row r="13" ht="15" customHeight="1" spans="1:11" x14ac:dyDescent="0.25">
      <c r="A13" s="43" t="s">
        <v>20</v>
      </c>
      <c r="B13" s="44"/>
      <c r="C13" s="45" t="s">
        <v>21</v>
      </c>
      <c r="D13" s="44" t="s">
        <v>22</v>
      </c>
      <c r="E13" s="44"/>
      <c r="F13" s="43" t="s">
        <v>20</v>
      </c>
      <c r="G13" s="44"/>
      <c r="H13" s="44" t="s">
        <v>21</v>
      </c>
      <c r="I13" s="44"/>
      <c r="J13" s="44" t="s">
        <v>22</v>
      </c>
      <c r="K13" s="46"/>
    </row>
    <row r="14" ht="15" customHeight="1" spans="1:11" x14ac:dyDescent="0.25">
      <c r="A14" s="47" t="s">
        <v>6</v>
      </c>
      <c r="B14" s="48"/>
      <c r="C14" s="48" t="s">
        <v>6</v>
      </c>
      <c r="D14" s="48" t="s">
        <v>6</v>
      </c>
      <c r="E14" s="48"/>
      <c r="F14" s="47" t="s">
        <v>23</v>
      </c>
      <c r="G14" s="48"/>
      <c r="H14" s="48" t="s">
        <v>24</v>
      </c>
      <c r="I14" s="48"/>
      <c r="J14" s="48" t="s">
        <v>25</v>
      </c>
      <c r="K14" s="49"/>
    </row>
    <row r="15" ht="15" customHeight="1" spans="1:11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2"/>
    </row>
    <row r="16" ht="15" customHeight="1" spans="1:11" x14ac:dyDescent="0.25">
      <c r="A16" s="53" t="s">
        <v>26</v>
      </c>
      <c r="B16" s="54"/>
      <c r="C16" s="54"/>
      <c r="D16" s="54"/>
      <c r="E16" s="55"/>
      <c r="F16" s="56" t="s">
        <v>27</v>
      </c>
      <c r="G16" s="56"/>
      <c r="H16" s="56"/>
      <c r="I16" s="56"/>
      <c r="J16" s="57" t="s">
        <v>28</v>
      </c>
      <c r="K16" s="58" t="s">
        <v>4</v>
      </c>
    </row>
    <row r="17" ht="29.5" customHeight="1" spans="1:11" x14ac:dyDescent="0.25">
      <c r="A17" s="42"/>
      <c r="B17" s="41"/>
      <c r="C17" s="41"/>
      <c r="D17" s="41"/>
      <c r="E17" s="59"/>
      <c r="F17" s="60"/>
      <c r="G17" s="60"/>
      <c r="H17" s="60"/>
      <c r="I17" s="60"/>
      <c r="J17" s="61" t="s">
        <v>29</v>
      </c>
      <c r="K17" s="62"/>
    </row>
    <row r="18" spans="1:11" x14ac:dyDescent="0.25">
      <c r="A18" s="43" t="s">
        <v>20</v>
      </c>
      <c r="B18" s="44"/>
      <c r="C18" s="45" t="s">
        <v>21</v>
      </c>
      <c r="D18" s="44" t="s">
        <v>22</v>
      </c>
      <c r="E18" s="44"/>
      <c r="F18" s="60"/>
      <c r="G18" s="60"/>
      <c r="H18" s="60"/>
      <c r="I18" s="60"/>
      <c r="J18" s="61" t="s">
        <v>30</v>
      </c>
      <c r="K18" s="62"/>
    </row>
    <row r="19" ht="15.75" customHeight="1" spans="1:11" x14ac:dyDescent="0.25">
      <c r="A19" s="47" t="s">
        <v>23</v>
      </c>
      <c r="B19" s="48"/>
      <c r="C19" s="48" t="s">
        <v>24</v>
      </c>
      <c r="D19" s="48"/>
      <c r="E19" s="48"/>
      <c r="F19" s="63" t="s">
        <v>31</v>
      </c>
      <c r="G19" s="64"/>
      <c r="H19" s="64"/>
      <c r="I19" s="65"/>
      <c r="J19" s="66">
        <v>45938</v>
      </c>
      <c r="K19" s="67"/>
    </row>
    <row r="20" ht="15" customHeight="1" spans="1:11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9"/>
    </row>
    <row r="21" ht="12" customHeight="1" spans="1:11" x14ac:dyDescent="0.25">
      <c r="A21" s="53" t="s">
        <v>32</v>
      </c>
      <c r="B21" s="68" t="s">
        <v>33</v>
      </c>
      <c r="C21" s="68" t="s">
        <v>34</v>
      </c>
      <c r="D21" s="69" t="s">
        <v>35</v>
      </c>
      <c r="E21" s="70"/>
      <c r="F21" s="71" t="s">
        <v>36</v>
      </c>
      <c r="G21" s="72"/>
      <c r="H21" s="73" t="s">
        <v>37</v>
      </c>
      <c r="I21" s="73"/>
      <c r="J21" s="74">
        <v>30000</v>
      </c>
      <c r="K21" s="75"/>
    </row>
    <row r="22" spans="1:11" x14ac:dyDescent="0.25">
      <c r="A22" s="40"/>
      <c r="B22" s="76" t="s">
        <v>38</v>
      </c>
      <c r="C22" t="s">
        <v>39</v>
      </c>
      <c r="D22" s="25" t="s">
        <v>40</v>
      </c>
      <c r="E22" s="77"/>
      <c r="F22" s="78" t="s">
        <v>41</v>
      </c>
      <c r="G22" s="79" t="s">
        <v>42</v>
      </c>
      <c r="H22" s="80"/>
      <c r="I22" s="60" t="s">
        <v>43</v>
      </c>
      <c r="J22" s="80" t="s">
        <v>6</v>
      </c>
      <c r="K22" s="62"/>
    </row>
    <row r="23" ht="15" customHeight="1" spans="1:11" x14ac:dyDescent="0.25">
      <c r="A23" s="40"/>
      <c r="B23" t="s">
        <v>44</v>
      </c>
      <c r="C23" s="31"/>
      <c r="D23" s="31"/>
      <c r="E23" s="32"/>
      <c r="F23" s="81" t="s">
        <v>45</v>
      </c>
      <c r="G23" s="82"/>
      <c r="H23" s="83"/>
      <c r="I23" s="60"/>
      <c r="J23" s="84" t="s">
        <v>46</v>
      </c>
      <c r="K23" s="85" t="s">
        <v>47</v>
      </c>
    </row>
    <row r="24" ht="15" customHeight="1" spans="1:11" x14ac:dyDescent="0.25">
      <c r="A24" s="71" t="s">
        <v>48</v>
      </c>
      <c r="B24" s="72"/>
      <c r="C24" s="86" t="s">
        <v>6</v>
      </c>
      <c r="D24" s="86"/>
      <c r="E24" s="87"/>
      <c r="F24" s="88" t="s">
        <v>49</v>
      </c>
      <c r="G24" s="84" t="s">
        <v>50</v>
      </c>
      <c r="H24" s="89"/>
      <c r="I24" s="90"/>
      <c r="J24" s="84"/>
      <c r="K24" s="91"/>
    </row>
    <row r="25" ht="15" customHeight="1" spans="1:11" x14ac:dyDescent="0.25">
      <c r="A25" s="92"/>
      <c r="B25" s="93"/>
      <c r="C25" s="93"/>
      <c r="D25" s="93"/>
      <c r="E25" s="93"/>
      <c r="F25" s="48"/>
      <c r="G25" s="48"/>
      <c r="H25" s="48"/>
      <c r="I25" s="48"/>
      <c r="J25" s="93"/>
      <c r="K25" s="94"/>
    </row>
    <row r="26" spans="1:11" x14ac:dyDescent="0.25">
      <c r="A26" s="81" t="s">
        <v>51</v>
      </c>
      <c r="B26" s="82"/>
      <c r="C26" s="95">
        <v>0</v>
      </c>
      <c r="D26" s="95"/>
      <c r="E26" s="96"/>
      <c r="F26" s="97" t="s">
        <v>52</v>
      </c>
      <c r="G26" s="98"/>
      <c r="H26" s="98"/>
      <c r="I26" s="98"/>
      <c r="J26" s="98"/>
      <c r="K26" s="99"/>
    </row>
    <row r="27" ht="14.5" customHeight="1" spans="1:11" x14ac:dyDescent="0.25">
      <c r="A27" s="81" t="s">
        <v>53</v>
      </c>
      <c r="B27" s="82"/>
      <c r="C27" s="100">
        <v>0</v>
      </c>
      <c r="D27" s="100"/>
      <c r="E27" s="101"/>
      <c r="F27" s="102"/>
      <c r="G27" s="103"/>
      <c r="H27" s="103"/>
      <c r="I27" s="103"/>
      <c r="J27" s="103"/>
      <c r="K27" s="104"/>
    </row>
    <row r="28" ht="14.5" customHeight="1" spans="1:11" x14ac:dyDescent="0.25">
      <c r="A28" s="81" t="s">
        <v>54</v>
      </c>
      <c r="B28" s="82"/>
      <c r="C28" s="80" t="s">
        <v>49</v>
      </c>
      <c r="D28" s="80" t="s">
        <v>55</v>
      </c>
      <c r="E28" s="105"/>
      <c r="F28" s="106"/>
      <c r="G28" s="107"/>
      <c r="H28" s="107"/>
      <c r="I28" s="107"/>
      <c r="J28" s="107"/>
      <c r="K28" s="108"/>
    </row>
    <row r="29" ht="14.5" customHeight="1" spans="1:11" x14ac:dyDescent="0.25">
      <c r="A29" s="81" t="s">
        <v>56</v>
      </c>
      <c r="B29" s="82"/>
      <c r="C29" s="100">
        <v>0</v>
      </c>
      <c r="D29" s="100"/>
      <c r="E29" s="101"/>
      <c r="F29" s="109" t="s">
        <v>6</v>
      </c>
      <c r="G29" s="110"/>
      <c r="H29" s="110"/>
      <c r="I29" s="110"/>
      <c r="J29" s="110"/>
      <c r="K29" s="111"/>
    </row>
    <row r="30" ht="14.5" customHeight="1" spans="1:11" x14ac:dyDescent="0.25">
      <c r="A30" s="81" t="s">
        <v>57</v>
      </c>
      <c r="B30" s="82"/>
      <c r="C30" s="80" t="s">
        <v>58</v>
      </c>
      <c r="D30" s="80" t="s">
        <v>50</v>
      </c>
      <c r="E30" s="105"/>
      <c r="F30" s="112"/>
      <c r="G30" s="113"/>
      <c r="H30" s="113"/>
      <c r="I30" s="113"/>
      <c r="J30" s="113"/>
      <c r="K30" s="114"/>
    </row>
    <row r="31" ht="14.5" customHeight="1" spans="1:11" x14ac:dyDescent="0.25">
      <c r="A31" s="81" t="s">
        <v>59</v>
      </c>
      <c r="B31" s="82"/>
      <c r="C31" s="80" t="s">
        <v>60</v>
      </c>
      <c r="D31" s="80" t="s">
        <v>61</v>
      </c>
      <c r="E31" s="105" t="s">
        <v>62</v>
      </c>
      <c r="F31" s="112"/>
      <c r="G31" s="113"/>
      <c r="H31" s="113"/>
      <c r="I31" s="113"/>
      <c r="J31" s="113"/>
      <c r="K31" s="114"/>
    </row>
    <row r="32" ht="15" customHeight="1" spans="1:11" x14ac:dyDescent="0.25">
      <c r="A32" s="115" t="s">
        <v>63</v>
      </c>
      <c r="B32" s="116"/>
      <c r="C32" s="116"/>
      <c r="D32" s="116"/>
      <c r="E32" s="117"/>
      <c r="F32" s="112"/>
      <c r="G32" s="113"/>
      <c r="H32" s="113"/>
      <c r="I32" s="113"/>
      <c r="J32" s="113"/>
      <c r="K32" s="114"/>
    </row>
    <row r="33" spans="1:11" x14ac:dyDescent="0.25">
      <c r="A33" s="118" t="s">
        <v>64</v>
      </c>
      <c r="B33" s="119"/>
      <c r="C33" s="36" t="s">
        <v>6</v>
      </c>
      <c r="D33" s="36"/>
      <c r="E33" s="37"/>
      <c r="F33" s="112"/>
      <c r="G33" s="113"/>
      <c r="H33" s="113"/>
      <c r="I33" s="113"/>
      <c r="J33" s="113"/>
      <c r="K33" s="114"/>
    </row>
    <row r="34" spans="1:11" x14ac:dyDescent="0.25">
      <c r="A34" s="38" t="s">
        <v>13</v>
      </c>
      <c r="B34" s="18" t="s">
        <v>6</v>
      </c>
      <c r="C34" s="18"/>
      <c r="D34" s="18"/>
      <c r="E34" s="26"/>
      <c r="F34" s="112"/>
      <c r="G34" s="113"/>
      <c r="H34" s="113"/>
      <c r="I34" s="113"/>
      <c r="J34" s="113"/>
      <c r="K34" s="114"/>
    </row>
    <row r="35" spans="1:11" x14ac:dyDescent="0.25">
      <c r="A35" s="38" t="s">
        <v>15</v>
      </c>
      <c r="B35" s="39" t="s">
        <v>6</v>
      </c>
      <c r="C35" s="39"/>
      <c r="D35" t="s">
        <v>65</v>
      </c>
      <c r="E35" s="120"/>
      <c r="F35" s="112"/>
      <c r="G35" s="113"/>
      <c r="H35" s="113"/>
      <c r="I35" s="113"/>
      <c r="J35" s="113"/>
      <c r="K35" s="114"/>
    </row>
    <row r="36" ht="15" customHeight="1" spans="1:11" x14ac:dyDescent="0.25">
      <c r="A36" s="40" t="s">
        <v>17</v>
      </c>
      <c r="B36" s="41"/>
      <c r="C36" s="41"/>
      <c r="D36" s="41"/>
      <c r="E36" s="26" t="s">
        <v>18</v>
      </c>
      <c r="F36" s="112"/>
      <c r="G36" s="113"/>
      <c r="H36" s="113"/>
      <c r="I36" s="113"/>
      <c r="J36" s="113"/>
      <c r="K36" s="114"/>
    </row>
    <row r="37" spans="1:11" x14ac:dyDescent="0.25">
      <c r="A37" s="42"/>
      <c r="B37" s="41"/>
      <c r="C37" s="41"/>
      <c r="D37" s="41"/>
      <c r="E37" s="26"/>
      <c r="F37" s="112"/>
      <c r="G37" s="113"/>
      <c r="H37" s="113"/>
      <c r="I37" s="113"/>
      <c r="J37" s="113"/>
      <c r="K37" s="114"/>
    </row>
    <row r="38" spans="1:11" x14ac:dyDescent="0.25">
      <c r="A38" s="43" t="s">
        <v>20</v>
      </c>
      <c r="B38" s="44"/>
      <c r="C38" s="45" t="s">
        <v>21</v>
      </c>
      <c r="D38" s="44" t="s">
        <v>22</v>
      </c>
      <c r="E38" s="44"/>
      <c r="F38" s="112"/>
      <c r="G38" s="113"/>
      <c r="H38" s="113"/>
      <c r="I38" s="113"/>
      <c r="J38" s="113"/>
      <c r="K38" s="114"/>
    </row>
    <row r="39" ht="15" customHeight="1" spans="1:11" x14ac:dyDescent="0.25">
      <c r="A39" s="47" t="s">
        <v>6</v>
      </c>
      <c r="B39" s="48"/>
      <c r="C39" s="48" t="s">
        <v>6</v>
      </c>
      <c r="D39" s="48" t="s">
        <v>6</v>
      </c>
      <c r="E39" s="48"/>
      <c r="F39" s="121"/>
      <c r="G39" s="122"/>
      <c r="H39" s="122"/>
      <c r="I39" s="122"/>
      <c r="J39" s="122"/>
      <c r="K39" s="123"/>
    </row>
    <row r="40" ht="15" customHeight="1" spans="1:11" x14ac:dyDescent="0.25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6"/>
    </row>
    <row r="41" spans="1:11" x14ac:dyDescent="0.25">
      <c r="A41" s="33" t="s">
        <v>66</v>
      </c>
      <c r="B41" s="127"/>
      <c r="C41" s="36" t="s">
        <v>6</v>
      </c>
      <c r="D41" s="36"/>
      <c r="E41" s="37"/>
      <c r="F41" s="33" t="s">
        <v>67</v>
      </c>
      <c r="G41" s="127"/>
      <c r="H41" s="36"/>
      <c r="I41" s="36"/>
      <c r="J41" s="36"/>
      <c r="K41" s="37"/>
    </row>
    <row r="42" spans="1:11" x14ac:dyDescent="0.25">
      <c r="A42" s="38" t="s">
        <v>68</v>
      </c>
      <c r="B42" s="18" t="s">
        <v>6</v>
      </c>
      <c r="C42" s="18"/>
      <c r="D42" s="18"/>
      <c r="E42" s="26"/>
      <c r="F42" s="38" t="s">
        <v>6</v>
      </c>
      <c r="G42" s="18"/>
      <c r="H42" s="18"/>
      <c r="I42" s="18"/>
      <c r="J42" s="18"/>
      <c r="K42" s="26"/>
    </row>
    <row r="43" spans="1:11" x14ac:dyDescent="0.25">
      <c r="A43" s="38" t="s">
        <v>15</v>
      </c>
      <c r="B43" s="18" t="s">
        <v>6</v>
      </c>
      <c r="C43" s="18"/>
      <c r="D43" t="s">
        <v>16</v>
      </c>
      <c r="F43" s="38" t="s">
        <v>15</v>
      </c>
      <c r="G43" s="18"/>
      <c r="H43" s="18"/>
      <c r="I43" t="s">
        <v>65</v>
      </c>
      <c r="J43" s="18"/>
      <c r="K43" s="26"/>
    </row>
    <row r="44" ht="15" customHeight="1" spans="1:11" x14ac:dyDescent="0.25">
      <c r="A44" s="40" t="s">
        <v>17</v>
      </c>
      <c r="B44" s="41"/>
      <c r="C44" s="41"/>
      <c r="D44" s="41"/>
      <c r="E44" s="18" t="s">
        <v>18</v>
      </c>
      <c r="F44" s="40" t="s">
        <v>69</v>
      </c>
      <c r="G44" s="41"/>
      <c r="H44" s="41"/>
      <c r="I44" s="41"/>
      <c r="J44" s="18" t="s">
        <v>18</v>
      </c>
      <c r="K44" s="26"/>
    </row>
    <row r="45" spans="1:11" x14ac:dyDescent="0.25">
      <c r="A45" s="42"/>
      <c r="B45" s="41"/>
      <c r="C45" s="41"/>
      <c r="D45" s="41"/>
      <c r="E45" s="26" t="s">
        <v>6</v>
      </c>
      <c r="F45" s="42"/>
      <c r="G45" s="41"/>
      <c r="H45" s="41"/>
      <c r="I45" s="41"/>
      <c r="J45" s="18"/>
      <c r="K45" s="26"/>
    </row>
    <row r="46" ht="15" customHeight="1" spans="1:11" x14ac:dyDescent="0.25">
      <c r="A46" s="43" t="s">
        <v>20</v>
      </c>
      <c r="B46" s="44"/>
      <c r="C46" s="45" t="s">
        <v>21</v>
      </c>
      <c r="D46" s="44" t="s">
        <v>22</v>
      </c>
      <c r="E46" s="46"/>
      <c r="F46" s="43" t="s">
        <v>20</v>
      </c>
      <c r="G46" s="44"/>
      <c r="H46" s="44" t="s">
        <v>21</v>
      </c>
      <c r="I46" s="44"/>
      <c r="J46" s="44" t="s">
        <v>22</v>
      </c>
      <c r="K46" s="46"/>
    </row>
    <row r="47" ht="15" customHeight="1" spans="1:11" x14ac:dyDescent="0.25">
      <c r="A47" s="30" t="s">
        <v>6</v>
      </c>
      <c r="B47" s="31"/>
      <c r="C47" s="31" t="s">
        <v>6</v>
      </c>
      <c r="D47" s="31" t="s">
        <v>6</v>
      </c>
      <c r="E47" s="32"/>
      <c r="F47" s="30"/>
      <c r="G47" s="31"/>
      <c r="H47" s="31"/>
      <c r="I47" s="31"/>
      <c r="J47" s="31"/>
      <c r="K47" s="32"/>
    </row>
    <row r="48" spans="1:11" x14ac:dyDescent="0.25">
      <c r="A48" s="128"/>
      <c r="B48" s="129"/>
      <c r="C48" s="129"/>
      <c r="D48" s="129"/>
      <c r="E48" s="130"/>
      <c r="F48" s="131" t="s">
        <v>70</v>
      </c>
      <c r="G48" s="132"/>
      <c r="H48" s="132"/>
      <c r="I48" s="133"/>
      <c r="J48" s="134">
        <v>0</v>
      </c>
      <c r="K48" s="135"/>
    </row>
    <row r="49" ht="15" customHeight="1" spans="1:11" x14ac:dyDescent="0.25">
      <c r="A49" s="17"/>
      <c r="B49" s="18"/>
      <c r="C49" s="18"/>
      <c r="D49" s="18"/>
      <c r="E49" s="26"/>
      <c r="F49" s="136"/>
      <c r="G49" s="137"/>
      <c r="H49" s="137"/>
      <c r="I49" s="138"/>
      <c r="J49" s="139"/>
      <c r="K49" s="140"/>
    </row>
    <row r="50" ht="15" customHeight="1" spans="1:11" x14ac:dyDescent="0.2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2"/>
    </row>
    <row r="51" ht="15" customHeight="1" spans="1:11" x14ac:dyDescent="0.25">
      <c r="A51" s="141" t="s">
        <v>71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3"/>
    </row>
    <row r="52" spans="1:11" x14ac:dyDescent="0.25">
      <c r="A52" s="144" t="s">
        <v>72</v>
      </c>
      <c r="B52" s="100"/>
      <c r="C52" s="100"/>
      <c r="D52" s="100"/>
      <c r="E52" s="101" t="s">
        <v>73</v>
      </c>
      <c r="F52" s="145"/>
      <c r="G52" s="146"/>
      <c r="H52" s="100" t="s">
        <v>74</v>
      </c>
      <c r="I52" s="100"/>
      <c r="J52" s="100"/>
      <c r="K52" s="147"/>
    </row>
    <row r="53" spans="1:11" x14ac:dyDescent="0.25">
      <c r="A53" s="148">
        <v>771000</v>
      </c>
      <c r="B53" s="149"/>
      <c r="C53" s="149"/>
      <c r="D53" s="149"/>
      <c r="E53" s="150">
        <v>0.05</v>
      </c>
      <c r="F53" s="151"/>
      <c r="G53" s="152"/>
      <c r="H53" s="149">
        <f>A53*E53</f>
        <v>0</v>
      </c>
      <c r="I53" s="149"/>
      <c r="J53" s="149"/>
      <c r="K53" s="153"/>
    </row>
    <row r="54" ht="15" customHeight="1" spans="1:11" x14ac:dyDescent="0.25">
      <c r="A54" s="154"/>
      <c r="B54" s="149"/>
      <c r="C54" s="149"/>
      <c r="D54" s="149"/>
      <c r="E54" s="155"/>
      <c r="F54" s="156"/>
      <c r="G54" s="157"/>
      <c r="H54" s="158">
        <f t="shared" ref="H54" si="0">A54*E54</f>
        <v>0</v>
      </c>
      <c r="I54" s="158"/>
      <c r="J54" s="158"/>
      <c r="K54" s="159"/>
    </row>
    <row r="55" ht="15" customHeight="1" spans="1:11" x14ac:dyDescent="0.25">
      <c r="A55" s="154"/>
      <c r="B55" s="149"/>
      <c r="C55" s="149"/>
      <c r="D55" s="149"/>
      <c r="E55" s="155"/>
      <c r="F55" s="156"/>
      <c r="G55" s="156"/>
      <c r="H55" s="160">
        <f>H53+H54</f>
        <v>30000</v>
      </c>
      <c r="I55" s="161"/>
      <c r="J55" s="161"/>
      <c r="K55" s="162"/>
    </row>
    <row r="56" spans="1:11" x14ac:dyDescent="0.25">
      <c r="A56" s="163"/>
      <c r="B56" s="164"/>
      <c r="C56" s="164"/>
      <c r="D56" s="164"/>
      <c r="E56" s="164"/>
      <c r="F56" s="164"/>
      <c r="G56" s="164"/>
      <c r="H56" s="18"/>
      <c r="I56" s="18"/>
      <c r="J56" s="18"/>
      <c r="K56" s="26"/>
    </row>
    <row r="57" spans="1:11" x14ac:dyDescent="0.25">
      <c r="A57" s="165" t="s">
        <v>75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7"/>
    </row>
    <row r="58" ht="16" customHeight="1" spans="1:11" x14ac:dyDescent="0.25">
      <c r="A58" s="168" t="s">
        <v>76</v>
      </c>
      <c r="B58" s="8" t="s">
        <v>77</v>
      </c>
      <c r="C58" s="8"/>
      <c r="D58" s="8"/>
      <c r="E58" s="169" t="s">
        <v>78</v>
      </c>
      <c r="F58" s="170"/>
      <c r="G58" s="171" t="s">
        <v>79</v>
      </c>
      <c r="H58" s="171"/>
      <c r="I58" s="171" t="s">
        <v>80</v>
      </c>
      <c r="J58" s="171"/>
      <c r="K58" s="172"/>
    </row>
    <row r="59" ht="16" customHeight="1" spans="1:11" x14ac:dyDescent="0.25">
      <c r="A59" s="38" t="s">
        <v>81</v>
      </c>
      <c r="B59" s="18" t="s">
        <v>23</v>
      </c>
      <c r="C59" s="18"/>
      <c r="D59" s="18"/>
      <c r="E59" s="164"/>
      <c r="F59" s="173"/>
      <c r="G59" s="174"/>
      <c r="H59" s="174"/>
      <c r="I59" s="175">
        <f>(H55*0.5)/2</f>
        <v>0</v>
      </c>
      <c r="J59" s="18"/>
      <c r="K59" s="26"/>
    </row>
    <row r="60" ht="16" customHeight="1" spans="1:11" x14ac:dyDescent="0.25">
      <c r="A60" s="38"/>
      <c r="B60" s="18" t="s">
        <v>23</v>
      </c>
      <c r="C60" s="18"/>
      <c r="D60" s="18"/>
      <c r="E60" s="18" t="s">
        <v>82</v>
      </c>
      <c r="F60" s="176"/>
      <c r="G60" s="177"/>
      <c r="H60" s="177"/>
      <c r="I60" s="175">
        <f>$I$59*0.385</f>
        <v>0</v>
      </c>
      <c r="J60" s="18"/>
      <c r="K60" s="26"/>
    </row>
    <row r="61" ht="16" customHeight="1" spans="1:11" x14ac:dyDescent="0.25">
      <c r="A61" s="38"/>
      <c r="B61" s="18" t="s">
        <v>23</v>
      </c>
      <c r="C61" s="18"/>
      <c r="D61" s="18"/>
      <c r="E61" s="18" t="s">
        <v>83</v>
      </c>
      <c r="F61" s="176"/>
      <c r="G61" s="177"/>
      <c r="H61" s="177"/>
      <c r="I61" s="175">
        <f>$I$59*0.265</f>
        <v>0</v>
      </c>
      <c r="J61" s="18"/>
      <c r="K61" s="26"/>
    </row>
    <row r="62" ht="16" customHeight="1" spans="1:11" x14ac:dyDescent="0.25">
      <c r="A62" s="38"/>
      <c r="B62" s="18" t="s">
        <v>23</v>
      </c>
      <c r="C62" s="18"/>
      <c r="D62" s="18"/>
      <c r="E62" s="18" t="s">
        <v>84</v>
      </c>
      <c r="F62" s="176"/>
      <c r="G62" s="177"/>
      <c r="H62" s="177"/>
      <c r="I62" s="175">
        <f>$I$59*0.12</f>
        <v>0</v>
      </c>
      <c r="J62" s="18"/>
      <c r="K62" s="26"/>
    </row>
    <row r="63" ht="16" customHeight="1" spans="1:11" x14ac:dyDescent="0.25">
      <c r="A63" s="38"/>
      <c r="B63" s="18" t="s">
        <v>23</v>
      </c>
      <c r="C63" s="18"/>
      <c r="D63" s="18"/>
      <c r="E63" s="18" t="s">
        <v>85</v>
      </c>
      <c r="F63" s="176"/>
      <c r="G63" s="177"/>
      <c r="H63" s="177"/>
      <c r="I63" s="175">
        <f>$I$59*0.16</f>
        <v>0</v>
      </c>
      <c r="J63" s="18"/>
      <c r="K63" s="26"/>
    </row>
    <row r="64" ht="16" customHeight="1" spans="1:11" x14ac:dyDescent="0.25">
      <c r="A64" s="38"/>
      <c r="B64" s="18" t="s">
        <v>23</v>
      </c>
      <c r="C64" s="18"/>
      <c r="D64" s="18"/>
      <c r="E64" s="18" t="s">
        <v>86</v>
      </c>
      <c r="F64" s="176"/>
      <c r="G64" s="177"/>
      <c r="H64" s="177"/>
      <c r="I64" s="175">
        <f>$I$59*0.07</f>
        <v>0</v>
      </c>
      <c r="J64" s="18"/>
      <c r="K64" s="26"/>
    </row>
    <row r="65" ht="16" customHeight="1" spans="1:11" x14ac:dyDescent="0.25">
      <c r="A65" s="38"/>
      <c r="B65" s="18"/>
      <c r="C65" s="18"/>
      <c r="D65" s="18"/>
      <c r="E65" s="18"/>
      <c r="F65" s="176"/>
      <c r="G65" s="178"/>
      <c r="H65" s="179"/>
      <c r="I65" s="180"/>
      <c r="J65" s="175"/>
      <c r="K65" s="181"/>
    </row>
    <row r="66" ht="16" customHeight="1" spans="1:11" x14ac:dyDescent="0.25">
      <c r="A66" s="38"/>
      <c r="B66" s="18"/>
      <c r="C66" s="18"/>
      <c r="D66" s="18"/>
      <c r="E66" s="18"/>
      <c r="F66" s="176"/>
      <c r="G66" s="177"/>
      <c r="H66" s="177"/>
      <c r="I66" s="175"/>
      <c r="J66" s="18"/>
      <c r="K66" s="26"/>
    </row>
    <row r="67" ht="16" customHeight="1" spans="1:11" x14ac:dyDescent="0.25">
      <c r="A67" s="38"/>
      <c r="B67" s="18"/>
      <c r="C67" s="18"/>
      <c r="D67" s="18"/>
      <c r="E67" s="18"/>
      <c r="F67" s="176"/>
      <c r="G67" s="177"/>
      <c r="H67" s="177"/>
      <c r="I67" s="175"/>
      <c r="J67" s="18"/>
      <c r="K67" s="26"/>
    </row>
    <row r="68" ht="16" customHeight="1" spans="1:11" x14ac:dyDescent="0.25">
      <c r="A68" s="38"/>
      <c r="B68" s="18"/>
      <c r="C68" s="18"/>
      <c r="D68" s="18"/>
      <c r="E68" s="18"/>
      <c r="F68" s="176"/>
      <c r="G68" s="177"/>
      <c r="H68" s="177"/>
      <c r="I68" s="175"/>
      <c r="J68" s="18"/>
      <c r="K68" s="26"/>
    </row>
    <row r="69" ht="16" customHeight="1" spans="1:11" x14ac:dyDescent="0.25">
      <c r="A69" s="182"/>
      <c r="B69" s="31"/>
      <c r="C69" s="31"/>
      <c r="D69" s="31"/>
      <c r="E69" s="31"/>
      <c r="F69" s="183"/>
      <c r="G69" s="184"/>
      <c r="H69" s="185"/>
      <c r="I69" s="186">
        <f>SUM(I59:K68)</f>
        <v>30000</v>
      </c>
      <c r="J69" s="187"/>
      <c r="K69" s="188"/>
    </row>
    <row r="70" ht="15" customHeight="1" spans="1:1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x14ac:dyDescent="0.25">
      <c r="A71" s="189" t="s">
        <v>87</v>
      </c>
      <c r="B71" s="190"/>
      <c r="C71" s="190"/>
      <c r="D71" s="191"/>
      <c r="G71" s="192"/>
      <c r="H71" s="193"/>
      <c r="I71" s="193"/>
      <c r="J71" s="193"/>
      <c r="K71" s="194"/>
    </row>
    <row r="72" spans="1:11" x14ac:dyDescent="0.25">
      <c r="A72" s="24" t="s">
        <v>88</v>
      </c>
      <c r="B72" s="25"/>
      <c r="C72" s="25" t="s">
        <v>89</v>
      </c>
      <c r="D72" s="77"/>
      <c r="G72" s="195"/>
      <c r="H72" s="16"/>
      <c r="I72" s="16"/>
      <c r="J72" s="16"/>
      <c r="K72" s="19"/>
    </row>
    <row r="73" spans="1:11" x14ac:dyDescent="0.25">
      <c r="A73" s="24" t="s">
        <v>90</v>
      </c>
      <c r="B73" s="25"/>
      <c r="C73" s="25" t="s">
        <v>91</v>
      </c>
      <c r="D73" s="77"/>
      <c r="G73" s="195"/>
      <c r="H73" s="16"/>
      <c r="I73" s="16"/>
      <c r="J73" s="16"/>
      <c r="K73" s="19"/>
    </row>
    <row r="74" ht="15" customHeight="1" spans="1:11" x14ac:dyDescent="0.25">
      <c r="A74" s="196" t="s">
        <v>92</v>
      </c>
      <c r="B74" s="197"/>
      <c r="C74" s="197"/>
      <c r="D74" s="198"/>
      <c r="G74" s="195"/>
      <c r="H74" s="16"/>
      <c r="I74" s="16"/>
      <c r="J74" s="16"/>
      <c r="K74" s="19"/>
    </row>
    <row r="75" ht="15" customHeight="1" spans="1:11" x14ac:dyDescent="0.25">
      <c r="A75" s="25"/>
      <c r="B75" s="25"/>
      <c r="C75" s="25"/>
      <c r="D75" s="25"/>
      <c r="E75" s="25"/>
      <c r="G75" s="199" t="s">
        <v>93</v>
      </c>
      <c r="H75" s="200"/>
      <c r="I75" s="200"/>
      <c r="J75" s="200"/>
      <c r="K75" s="201"/>
    </row>
    <row r="76" ht="15" customHeight="1" spans="1:5" x14ac:dyDescent="0.25">
      <c r="A76" s="202" t="s">
        <v>94</v>
      </c>
      <c r="B76" s="202"/>
      <c r="C76" s="202"/>
      <c r="D76" s="202"/>
      <c r="E76" s="202"/>
    </row>
    <row r="77" spans="1:11" x14ac:dyDescent="0.25">
      <c r="A77" s="25"/>
      <c r="B77" s="25"/>
      <c r="C77" s="25"/>
      <c r="D77" s="25"/>
      <c r="E77" s="25"/>
      <c r="G77" s="203" t="s">
        <v>95</v>
      </c>
      <c r="H77" s="204"/>
      <c r="I77" s="205"/>
      <c r="J77" s="205"/>
      <c r="K77" s="206"/>
    </row>
    <row r="78" ht="15" customHeight="1" spans="1:11" x14ac:dyDescent="0.25">
      <c r="A78" s="25"/>
      <c r="B78" s="25"/>
      <c r="C78" s="25"/>
      <c r="D78" s="25"/>
      <c r="E78" s="25"/>
      <c r="G78" s="207"/>
      <c r="H78" s="208"/>
      <c r="I78" s="209"/>
      <c r="J78" s="209"/>
      <c r="K78" s="210"/>
    </row>
  </sheetData>
  <mergeCells count="186">
    <mergeCell ref="A1:H1"/>
    <mergeCell ref="I1:K1"/>
    <mergeCell ref="A2:B2"/>
    <mergeCell ref="D2:E2"/>
    <mergeCell ref="G2:K2"/>
    <mergeCell ref="A3:B4"/>
    <mergeCell ref="C3:G4"/>
    <mergeCell ref="H3:I4"/>
    <mergeCell ref="J3:J4"/>
    <mergeCell ref="K3:K4"/>
    <mergeCell ref="A5:B7"/>
    <mergeCell ref="C5:G6"/>
    <mergeCell ref="H5:I5"/>
    <mergeCell ref="H6:I6"/>
    <mergeCell ref="C7:G7"/>
    <mergeCell ref="H7:K7"/>
    <mergeCell ref="B8:E8"/>
    <mergeCell ref="G8:K8"/>
    <mergeCell ref="B9:E9"/>
    <mergeCell ref="G9:K9"/>
    <mergeCell ref="B10:C10"/>
    <mergeCell ref="G10:H10"/>
    <mergeCell ref="J10:K10"/>
    <mergeCell ref="A11:D12"/>
    <mergeCell ref="F11:I12"/>
    <mergeCell ref="J11:K11"/>
    <mergeCell ref="J12:K12"/>
    <mergeCell ref="A13:B13"/>
    <mergeCell ref="D13:E13"/>
    <mergeCell ref="F13:G13"/>
    <mergeCell ref="H13:I13"/>
    <mergeCell ref="J13:K13"/>
    <mergeCell ref="A14:B14"/>
    <mergeCell ref="D14:E14"/>
    <mergeCell ref="F14:G14"/>
    <mergeCell ref="H14:I14"/>
    <mergeCell ref="J14:K14"/>
    <mergeCell ref="A15:K15"/>
    <mergeCell ref="A16:E17"/>
    <mergeCell ref="F16:I18"/>
    <mergeCell ref="A18:B18"/>
    <mergeCell ref="D18:E18"/>
    <mergeCell ref="A19:B19"/>
    <mergeCell ref="D19:E19"/>
    <mergeCell ref="F19:I19"/>
    <mergeCell ref="J19:K19"/>
    <mergeCell ref="A20:K20"/>
    <mergeCell ref="D21:E21"/>
    <mergeCell ref="F21:G21"/>
    <mergeCell ref="H21:I21"/>
    <mergeCell ref="J21:K21"/>
    <mergeCell ref="A21:A23"/>
    <mergeCell ref="D22:E22"/>
    <mergeCell ref="C23:E23"/>
    <mergeCell ref="F23:H23"/>
    <mergeCell ref="I22:I24"/>
    <mergeCell ref="A24:B24"/>
    <mergeCell ref="C24:E24"/>
    <mergeCell ref="K23:K24"/>
    <mergeCell ref="A25:K25"/>
    <mergeCell ref="A26:B26"/>
    <mergeCell ref="C26:E26"/>
    <mergeCell ref="F26:K28"/>
    <mergeCell ref="A27:B27"/>
    <mergeCell ref="C27:E27"/>
    <mergeCell ref="A28:B28"/>
    <mergeCell ref="A29:B29"/>
    <mergeCell ref="C29:E29"/>
    <mergeCell ref="F29:K39"/>
    <mergeCell ref="A30:B30"/>
    <mergeCell ref="A31:B31"/>
    <mergeCell ref="A32:E32"/>
    <mergeCell ref="A33:B33"/>
    <mergeCell ref="C33:E33"/>
    <mergeCell ref="B34:E34"/>
    <mergeCell ref="B35:C35"/>
    <mergeCell ref="A36:D37"/>
    <mergeCell ref="A38:B38"/>
    <mergeCell ref="D38:E38"/>
    <mergeCell ref="A39:B39"/>
    <mergeCell ref="D39:E39"/>
    <mergeCell ref="A40:K40"/>
    <mergeCell ref="C41:E41"/>
    <mergeCell ref="H41:K41"/>
    <mergeCell ref="B42:E42"/>
    <mergeCell ref="G42:K42"/>
    <mergeCell ref="B43:C43"/>
    <mergeCell ref="G43:H43"/>
    <mergeCell ref="J43:K43"/>
    <mergeCell ref="A44:D45"/>
    <mergeCell ref="F44:I45"/>
    <mergeCell ref="J44:K44"/>
    <mergeCell ref="J45:K45"/>
    <mergeCell ref="A46:B46"/>
    <mergeCell ref="D46:E46"/>
    <mergeCell ref="F46:G46"/>
    <mergeCell ref="H46:I46"/>
    <mergeCell ref="J46:K46"/>
    <mergeCell ref="A47:B47"/>
    <mergeCell ref="D47:E47"/>
    <mergeCell ref="F47:G47"/>
    <mergeCell ref="H47:I47"/>
    <mergeCell ref="J47:K47"/>
    <mergeCell ref="A48:E49"/>
    <mergeCell ref="F48:I49"/>
    <mergeCell ref="J48:K49"/>
    <mergeCell ref="A50:K50"/>
    <mergeCell ref="A51:K51"/>
    <mergeCell ref="A52:D52"/>
    <mergeCell ref="E52:G52"/>
    <mergeCell ref="H52:K52"/>
    <mergeCell ref="A53:D53"/>
    <mergeCell ref="E53:G53"/>
    <mergeCell ref="H53:K53"/>
    <mergeCell ref="A54:D54"/>
    <mergeCell ref="E54:G54"/>
    <mergeCell ref="H54:K54"/>
    <mergeCell ref="A55:D55"/>
    <mergeCell ref="E55:G55"/>
    <mergeCell ref="H55:K55"/>
    <mergeCell ref="A56:K56"/>
    <mergeCell ref="A57:K57"/>
    <mergeCell ref="B58:D58"/>
    <mergeCell ref="E58:F58"/>
    <mergeCell ref="G58:H58"/>
    <mergeCell ref="I58:K58"/>
    <mergeCell ref="B59:D59"/>
    <mergeCell ref="E59:F59"/>
    <mergeCell ref="G59:H59"/>
    <mergeCell ref="I59:K59"/>
    <mergeCell ref="B60:D60"/>
    <mergeCell ref="E60:F60"/>
    <mergeCell ref="G60:H60"/>
    <mergeCell ref="I60:K60"/>
    <mergeCell ref="B61:D61"/>
    <mergeCell ref="E61:F61"/>
    <mergeCell ref="G61:H61"/>
    <mergeCell ref="I61:K61"/>
    <mergeCell ref="B62:D62"/>
    <mergeCell ref="E62:F62"/>
    <mergeCell ref="G62:H62"/>
    <mergeCell ref="I62:K62"/>
    <mergeCell ref="B63:D63"/>
    <mergeCell ref="E63:F63"/>
    <mergeCell ref="G63:H63"/>
    <mergeCell ref="I63:K63"/>
    <mergeCell ref="B64:D64"/>
    <mergeCell ref="E64:F64"/>
    <mergeCell ref="G64:H64"/>
    <mergeCell ref="I64:K64"/>
    <mergeCell ref="B65:D65"/>
    <mergeCell ref="E65:F65"/>
    <mergeCell ref="G65:H65"/>
    <mergeCell ref="I65:K65"/>
    <mergeCell ref="B66:D66"/>
    <mergeCell ref="E66:F66"/>
    <mergeCell ref="G66:H66"/>
    <mergeCell ref="I66:K66"/>
    <mergeCell ref="B67:D67"/>
    <mergeCell ref="E67:F67"/>
    <mergeCell ref="G67:H67"/>
    <mergeCell ref="I67:K67"/>
    <mergeCell ref="B68:D68"/>
    <mergeCell ref="E68:F68"/>
    <mergeCell ref="G68:H68"/>
    <mergeCell ref="I68:K68"/>
    <mergeCell ref="B69:D69"/>
    <mergeCell ref="E69:F69"/>
    <mergeCell ref="G69:H69"/>
    <mergeCell ref="I69:K69"/>
    <mergeCell ref="A70:K70"/>
    <mergeCell ref="A71:D71"/>
    <mergeCell ref="G71:K74"/>
    <mergeCell ref="A72:B72"/>
    <mergeCell ref="C72:D72"/>
    <mergeCell ref="A73:B73"/>
    <mergeCell ref="C73:D73"/>
    <mergeCell ref="A74:B74"/>
    <mergeCell ref="C74:D74"/>
    <mergeCell ref="A75:E75"/>
    <mergeCell ref="G75:K75"/>
    <mergeCell ref="A76:E76"/>
    <mergeCell ref="A77:E77"/>
    <mergeCell ref="G77:H78"/>
    <mergeCell ref="I77:K78"/>
    <mergeCell ref="A78:E78"/>
  </mergeCells>
  <printOptions gridLines="1" horizontalCentered="1" verticalCentered="1"/>
  <pageMargins left="0.3937007874015748" right="0.3937007874015748" top="0.31496062992125984" bottom="0.1968503937007874" header="0.15748031496062992" footer="0.31496062992125984"/>
  <pageSetup paperSize="5" orientation="portrait" horizontalDpi="4294967295" verticalDpi="4294967295" scale="8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B42" sqref="B42"/>
    </sheetView>
  </sheetViews>
  <sheetFormatPr defaultRowHeight="14.5" outlineLevelRow="0" outlineLevelCol="0" x14ac:dyDescent="0" customHeight="1"/>
  <cols>
    <col min="2" max="2" width="96.453125" customWidth="1"/>
  </cols>
  <sheetData>
    <row r="1" ht="39.65" customHeight="1" spans="1:2" x14ac:dyDescent="0.25">
      <c r="A1" s="211" t="s">
        <v>96</v>
      </c>
      <c r="B1" s="212"/>
    </row>
    <row r="2" ht="14.15" customHeight="1" spans="1:2" x14ac:dyDescent="0.25">
      <c r="A2" s="213"/>
      <c r="B2" s="214" t="s">
        <v>97</v>
      </c>
    </row>
    <row r="3" ht="11.5" customHeight="1" spans="1:2" x14ac:dyDescent="0.25">
      <c r="A3" s="213"/>
      <c r="B3" s="214" t="s">
        <v>98</v>
      </c>
    </row>
    <row r="4" ht="14.15" customHeight="1" spans="1:2" x14ac:dyDescent="0.25">
      <c r="A4" s="213"/>
      <c r="B4" s="214" t="s">
        <v>99</v>
      </c>
    </row>
    <row r="5" ht="14.5" customHeight="1" spans="1:2" x14ac:dyDescent="0.25">
      <c r="A5" s="213"/>
      <c r="B5" s="214" t="s">
        <v>100</v>
      </c>
    </row>
    <row r="6" ht="12" customHeight="1" spans="1:2" x14ac:dyDescent="0.25">
      <c r="A6" s="213"/>
      <c r="B6" s="214" t="s">
        <v>101</v>
      </c>
    </row>
    <row r="7" ht="12.65" customHeight="1" spans="1:2" x14ac:dyDescent="0.25">
      <c r="A7" s="213"/>
      <c r="B7" s="214" t="s">
        <v>102</v>
      </c>
    </row>
    <row r="8" ht="11.15" customHeight="1" spans="1:2" x14ac:dyDescent="0.25">
      <c r="A8" s="213"/>
      <c r="B8" s="214" t="s">
        <v>103</v>
      </c>
    </row>
    <row r="9" ht="14.5" customHeight="1" spans="1:2" x14ac:dyDescent="0.25">
      <c r="A9" s="213"/>
      <c r="B9" s="214" t="s">
        <v>104</v>
      </c>
    </row>
    <row r="10" ht="13.4" customHeight="1" spans="1:2" x14ac:dyDescent="0.25">
      <c r="A10" s="215"/>
      <c r="B10" s="216" t="s">
        <v>105</v>
      </c>
    </row>
    <row r="11" ht="14.5" customHeight="1" spans="1:2" x14ac:dyDescent="0.25">
      <c r="A11" s="213"/>
      <c r="B11" s="214" t="s">
        <v>106</v>
      </c>
    </row>
    <row r="12" ht="13.4" customHeight="1" spans="1:2" x14ac:dyDescent="0.25">
      <c r="A12" s="213"/>
      <c r="B12" s="214" t="s">
        <v>107</v>
      </c>
    </row>
    <row r="13" ht="12.65" customHeight="1" spans="1:2" x14ac:dyDescent="0.25">
      <c r="A13" s="213"/>
      <c r="B13" s="214" t="s">
        <v>108</v>
      </c>
    </row>
    <row r="14" ht="13.4" customHeight="1" spans="1:2" x14ac:dyDescent="0.25">
      <c r="A14" s="213"/>
      <c r="B14" s="214" t="s">
        <v>109</v>
      </c>
    </row>
    <row r="15" ht="13.4" customHeight="1" spans="1:2" x14ac:dyDescent="0.25">
      <c r="A15" s="213"/>
      <c r="B15" s="214" t="s">
        <v>110</v>
      </c>
    </row>
    <row r="16" ht="14.5" customHeight="1" spans="1:2" x14ac:dyDescent="0.25">
      <c r="A16" s="213"/>
      <c r="B16" s="214" t="s">
        <v>111</v>
      </c>
    </row>
    <row r="17" ht="15" customHeight="1" spans="1:2" x14ac:dyDescent="0.25">
      <c r="A17" s="213"/>
      <c r="B17" s="214" t="s">
        <v>112</v>
      </c>
    </row>
    <row r="18" ht="12.65" customHeight="1" spans="1:2" x14ac:dyDescent="0.25">
      <c r="A18" s="213"/>
      <c r="B18" s="214" t="s">
        <v>113</v>
      </c>
    </row>
    <row r="19" ht="15" customHeight="1" spans="1:2" x14ac:dyDescent="0.25">
      <c r="A19" s="213"/>
      <c r="B19" s="214" t="s">
        <v>114</v>
      </c>
    </row>
    <row r="20" ht="13.4" customHeight="1" spans="1:2" x14ac:dyDescent="0.25">
      <c r="A20" s="213"/>
      <c r="B20" s="214" t="s">
        <v>115</v>
      </c>
    </row>
    <row r="21" ht="14.15" customHeight="1" spans="1:2" x14ac:dyDescent="0.25">
      <c r="A21" s="213"/>
      <c r="B21" s="214" t="s">
        <v>116</v>
      </c>
    </row>
    <row r="22" ht="17.15" customHeight="1" spans="1:2" x14ac:dyDescent="0.25">
      <c r="A22" s="213"/>
      <c r="B22" s="214" t="s">
        <v>117</v>
      </c>
    </row>
    <row r="23" ht="15" customHeight="1" spans="1:2" x14ac:dyDescent="0.25">
      <c r="A23" s="213"/>
      <c r="B23" s="214" t="s">
        <v>118</v>
      </c>
    </row>
    <row r="24" ht="15" customHeight="1" spans="1:2" x14ac:dyDescent="0.25">
      <c r="A24" s="213"/>
      <c r="B24" s="214" t="s">
        <v>119</v>
      </c>
    </row>
    <row r="25" ht="15" customHeight="1" spans="1:2" x14ac:dyDescent="0.25">
      <c r="A25" s="213"/>
      <c r="B25" s="214" t="s">
        <v>120</v>
      </c>
    </row>
    <row r="26" ht="14.5" customHeight="1" spans="1:2" x14ac:dyDescent="0.25">
      <c r="A26" s="213"/>
      <c r="B26" s="214" t="s">
        <v>121</v>
      </c>
    </row>
    <row r="27" ht="15.65" customHeight="1" spans="1:2" x14ac:dyDescent="0.25">
      <c r="A27" s="213"/>
      <c r="B27" s="214" t="s">
        <v>122</v>
      </c>
    </row>
    <row r="28" ht="16.4" customHeight="1" spans="1:2" x14ac:dyDescent="0.25">
      <c r="A28" s="213"/>
      <c r="B28" s="214" t="s">
        <v>123</v>
      </c>
    </row>
    <row r="29" ht="15" customHeight="1" spans="1:2" x14ac:dyDescent="0.25">
      <c r="A29" s="213"/>
      <c r="B29" s="214" t="s">
        <v>124</v>
      </c>
    </row>
    <row r="30" ht="15.65" customHeight="1" spans="1:2" x14ac:dyDescent="0.25">
      <c r="A30" s="213"/>
      <c r="B30" s="214" t="s">
        <v>125</v>
      </c>
    </row>
    <row r="31" ht="20.15" customHeight="1" spans="1:2" x14ac:dyDescent="0.25">
      <c r="A31" s="213"/>
      <c r="B31" s="214" t="s">
        <v>126</v>
      </c>
    </row>
    <row r="32" ht="16.4" customHeight="1" spans="1:2" x14ac:dyDescent="0.25">
      <c r="A32" s="213"/>
      <c r="B32" s="214" t="s">
        <v>127</v>
      </c>
    </row>
    <row r="33" ht="14.5" customHeight="1" spans="1:2" x14ac:dyDescent="0.25">
      <c r="A33" s="213"/>
      <c r="B33" s="214" t="s">
        <v>128</v>
      </c>
    </row>
    <row r="34" ht="17.5" customHeight="1" spans="1:2" x14ac:dyDescent="0.25">
      <c r="A34" s="213"/>
      <c r="B34" s="214" t="s">
        <v>129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Record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Jansen, Luke @ Saskatoon</cp:lastModifiedBy>
  <cp:lastPrinted>2020-11-18T20:50:41Z</cp:lastPrinted>
  <dcterms:created xsi:type="dcterms:W3CDTF">2010-07-12T19:01:54Z</dcterms:created>
  <dcterms:modified xsi:type="dcterms:W3CDTF">2025-05-13T15:54:54Z</dcterms:modified>
</cp:coreProperties>
</file>